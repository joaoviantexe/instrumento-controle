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4"/>
    <sheet state="visible" name="Cadastro Unidades" sheetId="2" r:id="rId5"/>
    <sheet state="visible" name="DistritoBairro" sheetId="3" r:id="rId6"/>
    <sheet state="visible" name="Lista Mestra" sheetId="4" r:id="rId7"/>
    <sheet state="visible" name="Plano de Auditoria" sheetId="5" r:id="rId8"/>
    <sheet state="visible" name="Auditoria Documental" sheetId="6" r:id="rId9"/>
    <sheet state="visible" name="Checklist da Visita" sheetId="7" r:id="rId10"/>
    <sheet state="visible" name="Plano de Ação" sheetId="8" r:id="rId11"/>
    <sheet state="visible" name="Dashboard" sheetId="9" r:id="rId12"/>
    <sheet state="visible" name="Relatórios" sheetId="10" r:id="rId13"/>
  </sheets>
  <definedNames>
    <definedName hidden="1" localSheetId="1" name="_xlnm._FilterDatabase">'Cadastro Unidades'!$A$5:$AA$222</definedName>
    <definedName hidden="1" localSheetId="4" name="_xlnm._FilterDatabase">'Plano de Auditoria'!$A$5:$O$222</definedName>
    <definedName hidden="1" localSheetId="5" name="Z_FF2DD070_7DCC_4CF3_8D8D_FF5ED68C4D40_.wvu.FilterData">'Auditoria Documental'!$A$6:$T$60</definedName>
    <definedName hidden="1" localSheetId="4" name="Z_54BDEB84_C704_4C2C_8BD5_A6B0DA2BACEA_.wvu.FilterData">'Plano de Auditoria'!$A$5:$O$222</definedName>
    <definedName hidden="1" localSheetId="1" name="Z_1A5474B1_394C_457A_9279_94F732A01B8E_.wvu.FilterData">'Cadastro Unidades'!$A$5:$AA$222</definedName>
    <definedName hidden="1" localSheetId="7" name="Z_C20C43D3_7CFA_440F_A553_CEA274A06E6F_.wvu.FilterData">'Plano de Ação'!$A$6:$O$506</definedName>
    <definedName hidden="1" localSheetId="3" name="Z_40393A42_96D2_43F5_993C_8E18A3A5FCF8_.wvu.FilterData">'Lista Mestra'!$A$6:$J$59</definedName>
  </definedNames>
  <calcPr/>
  <customWorkbookViews>
    <customWorkbookView activeSheetId="0" maximized="1" windowHeight="0" windowWidth="0" guid="{FF2DD070-7DCC-4CF3-8D8D-FF5ED68C4D40}" name="AuditoriaChecklistIntegralTable filter view"/>
    <customWorkbookView activeSheetId="0" maximized="1" windowHeight="0" windowWidth="0" guid="{54BDEB84-C704-4C2C-8BD5-A6B0DA2BACEA}" name="PlanoAuditoriaChecklistTable filter view"/>
    <customWorkbookView activeSheetId="0" maximized="1" windowHeight="0" windowWidth="0" guid="{1A5474B1-394C-457A-9279-94F732A01B8E}" name="CadastroEnderecoTable filter view"/>
    <customWorkbookView activeSheetId="0" maximized="1" windowHeight="0" windowWidth="0" guid="{C20C43D3-7CFA-440F-A553-CEA274A06E6F}" name="PlanoAcaoChecklistTable filter view"/>
    <customWorkbookView activeSheetId="0" maximized="1" windowHeight="0" windowWidth="0" guid="{40393A42-96D2-43F5-993C-8E18A3A5FCF8}" name="ListaMestraChecklistTable filter view"/>
  </customWorkbookViews>
  <pivotCaches>
    <pivotCache cacheId="0" r:id="rId14"/>
  </pivotCaches>
  <extLst>
    <ext uri="GoogleSheetsCustomDataVersion2">
      <go:sheetsCustomData xmlns:go="http://customooxmlschemas.google.com/" r:id="rId15" roundtripDataChecksum="FR31MJo9KdDE9WNzPbRtKo9KmMVAcg1wq0vQ1yBt7BY="/>
    </ext>
  </extLst>
</workbook>
</file>

<file path=xl/sharedStrings.xml><?xml version="1.0" encoding="utf-8"?>
<sst xmlns="http://schemas.openxmlformats.org/spreadsheetml/2006/main" count="5858" uniqueCount="2856">
  <si>
    <t>INSTRUÇÕES DE USO</t>
  </si>
  <si>
    <t>Fluxo recomendado para aplicação, monitoramento e atualização do instrumento de controle da documentação escolar</t>
  </si>
  <si>
    <t>1. Atualizar o cadastro</t>
  </si>
  <si>
    <t>Revisar os 217 registros de endereço e completar atos legais, vigência, responsáveis, data da atualização e observações cadastrais.</t>
  </si>
  <si>
    <t>2. Planejar a verificação</t>
  </si>
  <si>
    <t>Criar ID único na aba Plano de Auditoria, selecionar a unidade, definir tipo, prioridade, datas e equipe responsável.</t>
  </si>
  <si>
    <t>3. Avaliar os 53 registros</t>
  </si>
  <si>
    <t>Na Auditoria Documental, classificar cada item como Conforme, Parcialmente conforme, Não conforme, Não se aplica ou Não avaliado e indicar a evidência.</t>
  </si>
  <si>
    <t>4. Aplicar a pontuação</t>
  </si>
  <si>
    <t>Conforme = 100% do peso; Parcialmente conforme = 50%; Não conforme/Não avaliado = 0%; Não se aplica = excluído mediante justificativa.</t>
  </si>
  <si>
    <t>5. Usar a síntese da visita</t>
  </si>
  <si>
    <t>Os itens VIS-01 a VIS-12 reproduzem integralmente a última página do Checklist e alimentam automaticamente a aba Checklist da Visita.</t>
  </si>
  <si>
    <t>6. Evitar dupla contagem</t>
  </si>
  <si>
    <t>Os 12 itens de síntese possuem peso zero. O índice global considera os 41 itens técnicos, preservando todos os registros sem duplicar sua influência estatística.</t>
  </si>
  <si>
    <t>7. Tratar pendências</t>
  </si>
  <si>
    <t>Registrar no Plano de Ação cada não conformidade relevante, com prioridade, responsável, prazo, evidência e validação da CDE.</t>
  </si>
  <si>
    <t>8. Monitorar resultados</t>
  </si>
  <si>
    <t>Utilizar Dashboard e Relatórios para reuniões de gestão, priorizando atos legais, vida escolar, arquivos, carga horária e divergências documentais.</t>
  </si>
  <si>
    <t>CRITÉRIOS DE CLASSIFICAÇÃO</t>
  </si>
  <si>
    <t>Situação</t>
  </si>
  <si>
    <t>Pontuação</t>
  </si>
  <si>
    <t>Significado</t>
  </si>
  <si>
    <t>Encaminhamento</t>
  </si>
  <si>
    <t>Conforme</t>
  </si>
  <si>
    <t>100% do peso</t>
  </si>
  <si>
    <t>Evidência integral, válida e coerente.</t>
  </si>
  <si>
    <t>Manter e monitorar.</t>
  </si>
  <si>
    <t>Parcialmente conforme</t>
  </si>
  <si>
    <t>50% do peso</t>
  </si>
  <si>
    <t>Atendimento incompleto ou evidência parcial.</t>
  </si>
  <si>
    <t>Complementar e registrar prazo.</t>
  </si>
  <si>
    <t>Não conforme</t>
  </si>
  <si>
    <t>0%</t>
  </si>
  <si>
    <t>Ausência, invalidade ou divergência relevante.</t>
  </si>
  <si>
    <t>Abrir ação corretiva.</t>
  </si>
  <si>
    <t>Não se aplica</t>
  </si>
  <si>
    <t>Excluído</t>
  </si>
  <si>
    <t>Item incompatível com a oferta/situação da unidade.</t>
  </si>
  <si>
    <t>Justificar formalmente.</t>
  </si>
  <si>
    <t>FONTES INCORPORADAS AO INSTRUMENTO</t>
  </si>
  <si>
    <t>Checklist Coordenadoria de Documentação Escolar.pdf</t>
  </si>
  <si>
    <t>53 registros incorporados integralmente: 41 itens técnicos e 12 itens do Checklist para a visita.</t>
  </si>
  <si>
    <t>Endereço de Unidades escolares por Distrito e_Bairro.xlsx</t>
  </si>
  <si>
    <t>217 unidades incorporadas com distrito, bairro, vínculo, INEP, situação, tipo, endereço, CEP, telefone e e-mail.</t>
  </si>
  <si>
    <t>Base territorial unificada das unidades municipais e OSCs/conveniadas — organizada por distrito e bairro</t>
  </si>
  <si>
    <t>Distrito</t>
  </si>
  <si>
    <t>Bairro</t>
  </si>
  <si>
    <t>Rede/Vínculo</t>
  </si>
  <si>
    <t>Código INEP/MEC</t>
  </si>
  <si>
    <t>Nome da unidade</t>
  </si>
  <si>
    <t>Tipo de unidade</t>
  </si>
  <si>
    <t>Distrito do anexo</t>
  </si>
  <si>
    <t>Tipo do prédio</t>
  </si>
  <si>
    <t>Tipo de contrato</t>
  </si>
  <si>
    <t>Zona</t>
  </si>
  <si>
    <t>Endereço</t>
  </si>
  <si>
    <t>Número</t>
  </si>
  <si>
    <t>Complemento</t>
  </si>
  <si>
    <t>CEP</t>
  </si>
  <si>
    <t>Telefone</t>
  </si>
  <si>
    <t>E-mail</t>
  </si>
  <si>
    <t>Ato de criação</t>
  </si>
  <si>
    <t>Ato de autorização/credenciamento/reconhecimento</t>
  </si>
  <si>
    <t>Vigência do ato</t>
  </si>
  <si>
    <t>Diretor(a)</t>
  </si>
  <si>
    <t>Contato</t>
  </si>
  <si>
    <t>Matrícula</t>
  </si>
  <si>
    <t>Secretário(a) escolar</t>
  </si>
  <si>
    <t>Matrícula 2</t>
  </si>
  <si>
    <t>Data da atualização</t>
  </si>
  <si>
    <t>Observações cadastrais</t>
  </si>
  <si>
    <t>DABEL</t>
  </si>
  <si>
    <t>BATISTA CAMPOS</t>
  </si>
  <si>
    <t>MUNICIPAL</t>
  </si>
  <si>
    <t>15548058</t>
  </si>
  <si>
    <t>ESCOLA MUNICIPAL PROFESSORA MARIA AUXILIADORA MARTINS GONCALVES</t>
  </si>
  <si>
    <t>ATIVA</t>
  </si>
  <si>
    <t>SEDE</t>
  </si>
  <si>
    <t>ALUGUEL</t>
  </si>
  <si>
    <t>URBANA</t>
  </si>
  <si>
    <t>RUA SAO MIGUEL</t>
  </si>
  <si>
    <t>557</t>
  </si>
  <si>
    <t>ENTRE TUPINAMBS E APINAGS ENTRE TUPINAMBAS E APINAGES</t>
  </si>
  <si>
    <t>66033112</t>
  </si>
  <si>
    <t>iris.santana@semec.belem.pa.gov.br</t>
  </si>
  <si>
    <t>DECRETO Nº 96.781/2020 - PMB, DE 21 DE JULHO DE 2020</t>
  </si>
  <si>
    <t>NÃO LOCALIZADO NO SITE DO CME BELÉM</t>
  </si>
  <si>
    <t xml:space="preserve">IRIS CORREA SANTANA - </t>
  </si>
  <si>
    <t>0351229- 019</t>
  </si>
  <si>
    <t>SEM SECRETARIO</t>
  </si>
  <si>
    <t>GUAMA</t>
  </si>
  <si>
    <t>15040801</t>
  </si>
  <si>
    <t>ANEXO BARAO DE MAMORE DA EM FRANCISCO DA SILVA NUNES</t>
  </si>
  <si>
    <t>ANEXO</t>
  </si>
  <si>
    <t>TRAVESSA QUATORZE DE ABRIL</t>
  </si>
  <si>
    <t>2321</t>
  </si>
  <si>
    <t>CASA</t>
  </si>
  <si>
    <t>66063485</t>
  </si>
  <si>
    <t>upbaraodemamore@semec.belem.pa.gov.br</t>
  </si>
  <si>
    <t>10/2025 - CME, DE 17/06/2025</t>
  </si>
  <si>
    <t>CLAUDICEIA BAIA FERREIRA</t>
  </si>
  <si>
    <t>1859030- 014</t>
  </si>
  <si>
    <t>JURUNAS</t>
  </si>
  <si>
    <t>15040720</t>
  </si>
  <si>
    <t>ESCOLA MUNICIPAL PROF MIGUEL PERNAMBUCO FILHO</t>
  </si>
  <si>
    <t>PROPRIA</t>
  </si>
  <si>
    <t>AVENIDA ROBERTO CAMELIER</t>
  </si>
  <si>
    <t>825</t>
  </si>
  <si>
    <t>RUA NOVA E PSG SANTA TEREZA</t>
  </si>
  <si>
    <t>66025455</t>
  </si>
  <si>
    <t>emeif.mpfilho@semec.pmb.pa.gov.br</t>
  </si>
  <si>
    <t>072/2018 - CME, DE 18/12/2018</t>
  </si>
  <si>
    <t>LADYANNA CHRISTINA DE LIMA</t>
  </si>
  <si>
    <t>0349127- 018</t>
  </si>
  <si>
    <t>ELIANE SANTANA HOMEM</t>
  </si>
  <si>
    <t>0390950-017</t>
  </si>
  <si>
    <t>MARCO</t>
  </si>
  <si>
    <t>15040860</t>
  </si>
  <si>
    <t>ANEXO CASA DA CRIANCA SANTA INES DA EM ALZIRA PERNAMBUCO</t>
  </si>
  <si>
    <t>AVENIDA JOAO PAULO II</t>
  </si>
  <si>
    <t>1725</t>
  </si>
  <si>
    <t>CASA ENTRE TV. LOMAS VALENTINAS E TV. ENEAS PINHEIRO</t>
  </si>
  <si>
    <t>66095495</t>
  </si>
  <si>
    <t>casadacriancastaines@semec.belem.pa.gov.br</t>
  </si>
  <si>
    <t>58/2019 - CME, DE 20/12/2019</t>
  </si>
  <si>
    <t>ANA DEISE PINTO DA SILVA</t>
  </si>
  <si>
    <t>OSC/CONVENIADA</t>
  </si>
  <si>
    <t>15182754</t>
  </si>
  <si>
    <t>CENTRO EDUCACIONAL ARTE DE EDUCAR OSC ANEXO INSTITUTO ACELERA AMAZONIA</t>
  </si>
  <si>
    <t>SUBVENÇÃO</t>
  </si>
  <si>
    <t>PASSAGEM LINDOLFO COLLOR</t>
  </si>
  <si>
    <t>115</t>
  </si>
  <si>
    <t>66095310</t>
  </si>
  <si>
    <t>OSC - NÃO NECESSITA ATO DE CRIAÇÃO</t>
  </si>
  <si>
    <t>ESCOLA MUNICIPAL ALZIRA PERNAMBUCO</t>
  </si>
  <si>
    <t>TRAVESSA PEREBEBUI</t>
  </si>
  <si>
    <t>1995</t>
  </si>
  <si>
    <t>ENTRE AV. DUQUE DE CAXIAS E VISC. DE INHAUMA</t>
  </si>
  <si>
    <t>66095661</t>
  </si>
  <si>
    <t>ROSEANE RODRIGUES SIQUEIRA</t>
  </si>
  <si>
    <t>0347000- 010</t>
  </si>
  <si>
    <t>ABELARDO BARROSO BRABO</t>
  </si>
  <si>
    <t>1954261-010</t>
  </si>
  <si>
    <t>15181677</t>
  </si>
  <si>
    <t>ESCOLA MUNICIPAL LIONS CLUBE DE BELEM</t>
  </si>
  <si>
    <t>COMODATO</t>
  </si>
  <si>
    <t>PASSAGEM SAO JOSE</t>
  </si>
  <si>
    <t>8</t>
  </si>
  <si>
    <t>66095570</t>
  </si>
  <si>
    <t>cclionsclubedebelem@semec.belem.pa.gov.br</t>
  </si>
  <si>
    <t>DECRETO Nº 113.717/2025 - PMB, DE 23 DE JUNHO DE 2025</t>
  </si>
  <si>
    <t>22/2025 - CME, DE 09/09/2025</t>
  </si>
  <si>
    <t>ROSANGELA PANTOJA MOTA</t>
  </si>
  <si>
    <t>0421820- 012</t>
  </si>
  <si>
    <t>IZABEL SEIXAS DE OLIVEIRA</t>
  </si>
  <si>
    <t>0053821-017</t>
  </si>
  <si>
    <t>15547299</t>
  </si>
  <si>
    <t>ESCOLA MUNICIPAL PROFESSORA LUCIA SOARES CASTRO</t>
  </si>
  <si>
    <t>1538</t>
  </si>
  <si>
    <t>ENTRE LOMAS E ANGUSTURA</t>
  </si>
  <si>
    <t>66095494</t>
  </si>
  <si>
    <t>emeiluciacastro@gmail.com</t>
  </si>
  <si>
    <t>DECRETO Nº 96.504/2020 - PMB, DE 16 DE JUNHO DE 2020.</t>
  </si>
  <si>
    <t>12/2022 - CME, DE 21/12/2022</t>
  </si>
  <si>
    <t>LUCELINA DE SOUSA LIMA</t>
  </si>
  <si>
    <t>0347663- 010</t>
  </si>
  <si>
    <t>15174557</t>
  </si>
  <si>
    <t>ESCOLA MUNICIPAL PROFESSORA RAIMUNDA LUCIA GUERREIRO</t>
  </si>
  <si>
    <t>TRAVESSA LOMAS VALENTINAS</t>
  </si>
  <si>
    <t>2892</t>
  </si>
  <si>
    <t>ENTRE JOAO PAULO E PASSAGEM PIO X</t>
  </si>
  <si>
    <t>66093677</t>
  </si>
  <si>
    <t>profraimundaluciaguerreiro@semec.belem.pa.gov.br</t>
  </si>
  <si>
    <t>DECRETO Nº 96.325/2020 - PMB, DE 19 DE MAIO DE 2020, RETIFICADO PELO DECRETO Nº 96.503/2020 - PMB, DE 16/06/2020</t>
  </si>
  <si>
    <t>05/2023 - CME, DE 12/04/2023</t>
  </si>
  <si>
    <t>AMANDA FERREIRA DA COSTA SA</t>
  </si>
  <si>
    <t xml:space="preserve"> 0348520- 018</t>
  </si>
  <si>
    <t>15040968</t>
  </si>
  <si>
    <t>ESCOLA MUNICIPAL RUY DA SILVEIRA BRITTO</t>
  </si>
  <si>
    <t>TRAVESSA DOUTOR ENEAS PINHEIRO</t>
  </si>
  <si>
    <t>2871</t>
  </si>
  <si>
    <t>ENTRE PERIMETRAL E JOAO PAULO II</t>
  </si>
  <si>
    <t>66095015</t>
  </si>
  <si>
    <t>ruydasilveirabrito@semec.belem.pa.gov.br</t>
  </si>
  <si>
    <t>04/2023 - CME, DE 12/04/2023</t>
  </si>
  <si>
    <t>ROSEANE CONCEIÇÃO COUTO VOGADO</t>
  </si>
  <si>
    <t>1861417- 010</t>
  </si>
  <si>
    <t>RONALDO XAVIER DE CARVALHO</t>
  </si>
  <si>
    <t>1882457-010</t>
  </si>
  <si>
    <t>NAZARE</t>
  </si>
  <si>
    <t>15176487</t>
  </si>
  <si>
    <t>CENTRO DE REFERENCIA DE EDUCACAO INFANTIL PROF ORLANDO BITAR</t>
  </si>
  <si>
    <t>PROPRIO</t>
  </si>
  <si>
    <t>AVENIDA GOVERNADOR JOSE MALCHER</t>
  </si>
  <si>
    <t>793</t>
  </si>
  <si>
    <t>ENTRE TV VISCONDE DE SOUZA FRANCO E TV QUINTINO BO</t>
  </si>
  <si>
    <t>66055260</t>
  </si>
  <si>
    <t>crei.orlandobitar@semec.belem.pa.gov.br</t>
  </si>
  <si>
    <t>EDELRA DE JESUS NUNES DOS SANTOS</t>
  </si>
  <si>
    <t>0411353- 012</t>
  </si>
  <si>
    <t>15041743</t>
  </si>
  <si>
    <t>INSTITUTO FELIPE SMALDONE BELEM</t>
  </si>
  <si>
    <t>ESCOLA</t>
  </si>
  <si>
    <t>CEDIDO</t>
  </si>
  <si>
    <t>TRAVESSA QUATORZE DE MARCO</t>
  </si>
  <si>
    <t>854</t>
  </si>
  <si>
    <t>66055490</t>
  </si>
  <si>
    <t>32229630</t>
  </si>
  <si>
    <t>048/2024 - CME, DE 11/12/2024</t>
  </si>
  <si>
    <t>SAO BRAS</t>
  </si>
  <si>
    <t>15159477</t>
  </si>
  <si>
    <t>CRECHE CASA LAR CORDEIRINHO DE DEUS</t>
  </si>
  <si>
    <t>TRAVESSA FRANCISCO CALDEIRA CASTELO BRANCO</t>
  </si>
  <si>
    <t>923</t>
  </si>
  <si>
    <t>66063000</t>
  </si>
  <si>
    <t>32497376</t>
  </si>
  <si>
    <t>39/2023 - CME, DE 13/12/2023</t>
  </si>
  <si>
    <t>15040887</t>
  </si>
  <si>
    <t>ESCOLA MUNICIPAL BENVINDA DE FRANCA MESSIAS</t>
  </si>
  <si>
    <t>PRACA FLORIANO PEIXOTO</t>
  </si>
  <si>
    <t>805</t>
  </si>
  <si>
    <t>66090290</t>
  </si>
  <si>
    <t>benvindadefrancamessias@semec.belem.pa.gov.br</t>
  </si>
  <si>
    <t>025/2024 - CME, DE 19/06/2024</t>
  </si>
  <si>
    <t>REGEANE CONCEIÇÃO ESTEVES DE LIMA</t>
  </si>
  <si>
    <t>0346535- 018</t>
  </si>
  <si>
    <t>ELIETE DO SOCORRO KEMPER MAIA SOUZA</t>
  </si>
  <si>
    <t>0047287-012</t>
  </si>
  <si>
    <t>15040909</t>
  </si>
  <si>
    <t>ESCOLA MUNICIPAL ERNESTINA RODRIGUES</t>
  </si>
  <si>
    <t>PASSAGEM ALBERTO ENGELHARD</t>
  </si>
  <si>
    <t>286</t>
  </si>
  <si>
    <t>PROX AO MUSEU EMILIO GOELD ENTRE MAGALHAES BARATA E GOV. JOSE MALCHER</t>
  </si>
  <si>
    <t>66040520</t>
  </si>
  <si>
    <t>ernestinarodrigues@semec.belem.pa.gov.br</t>
  </si>
  <si>
    <t>11/2026 - CME, DE 09/06/2026</t>
  </si>
  <si>
    <t>CARLOS ALBERTO DOS SANTOS RAMOS</t>
  </si>
  <si>
    <t>1964267- 010</t>
  </si>
  <si>
    <t>RAQUEL RODRIGUES DE MATOS VENTURA</t>
  </si>
  <si>
    <t>1983083-019</t>
  </si>
  <si>
    <t>ESCOLA MUNICIPAL FRANCISCO DA SILVA NUNES</t>
  </si>
  <si>
    <t>1824</t>
  </si>
  <si>
    <t>SAO BRAZ PARIQUIS E CARIPUNAS</t>
  </si>
  <si>
    <t>66063223</t>
  </si>
  <si>
    <t>franciscodasilvanunes@semec.belem.pa.gov.br</t>
  </si>
  <si>
    <t>ELIANA MARIA FERREIRA RIBEIRO MALATO</t>
  </si>
  <si>
    <t>0289426- 022</t>
  </si>
  <si>
    <t>REGINA CELIA MELO DOS SANTOS</t>
  </si>
  <si>
    <t>0394556-011</t>
  </si>
  <si>
    <t>TERRA FIRME</t>
  </si>
  <si>
    <t>ANEXO SOLAR ACALANTO DA EM BENVINDA DE FRANCA MESSIAS</t>
  </si>
  <si>
    <t>PASSAGEM INDEPENDENCIA</t>
  </si>
  <si>
    <t>217</t>
  </si>
  <si>
    <t>CONJ RESIDENCIAL RORAIMA</t>
  </si>
  <si>
    <t>66070240</t>
  </si>
  <si>
    <t>MAURICIO MAIA CERQUEIRA FILHO</t>
  </si>
  <si>
    <t>0346691- 010</t>
  </si>
  <si>
    <t>DABEN</t>
  </si>
  <si>
    <t>BENGUI</t>
  </si>
  <si>
    <t>15174603</t>
  </si>
  <si>
    <t>CENTRO COMUNITARIO NOSSA SENHORA DO PERPETUO SOCORRO</t>
  </si>
  <si>
    <t>RUA OLAVO NUNES</t>
  </si>
  <si>
    <t>74</t>
  </si>
  <si>
    <t>66630315</t>
  </si>
  <si>
    <t>32851977</t>
  </si>
  <si>
    <t>37/2023 - CME, DE 12/12/2023</t>
  </si>
  <si>
    <t>15040640</t>
  </si>
  <si>
    <t>ESCOLA MUNICIPAL AUGUSTO MEIRA FILHO</t>
  </si>
  <si>
    <t>RUA LAMEIRA BITTENCOURT</t>
  </si>
  <si>
    <t>SN</t>
  </si>
  <si>
    <t>RUA SAO PEDRO E RUA BETANIA</t>
  </si>
  <si>
    <t>66630010</t>
  </si>
  <si>
    <t>augusto-meiraf@semec.belem.pa.gov.br</t>
  </si>
  <si>
    <t>LEI Nº 7.183/1981 - PMB, DE 11/11/1981</t>
  </si>
  <si>
    <t>67/2019 - CME, DE 20/12/2019</t>
  </si>
  <si>
    <t>ELIENE CAROLINA CHUCRE MACIEL ALBUQUERQUE</t>
  </si>
  <si>
    <t>0373478- 011</t>
  </si>
  <si>
    <t>RODRIGO GOMES CEZAR DE SOUSA</t>
  </si>
  <si>
    <t>0427004-012</t>
  </si>
  <si>
    <t>15040704</t>
  </si>
  <si>
    <t>ESCOLA MUNICIPAL MARIA AMORAS DE OLIVEIRA</t>
  </si>
  <si>
    <t>PASSAGEM SAO PEDRO</t>
  </si>
  <si>
    <t>PROXIMO A AJAX DE OLIVEIRA</t>
  </si>
  <si>
    <t>66630390</t>
  </si>
  <si>
    <t>mariaamorasdeoliveira@semec.belem.pa.gov.br</t>
  </si>
  <si>
    <t>10/2026 - CME, DE 09/06/2026</t>
  </si>
  <si>
    <t>LAURIMAR DE MATOS FARIAS</t>
  </si>
  <si>
    <t>0027995- 011</t>
  </si>
  <si>
    <t>CARLOS ANTONIO DE SOUZA RODRRIGUES</t>
  </si>
  <si>
    <t>0390518-018</t>
  </si>
  <si>
    <t>15543234</t>
  </si>
  <si>
    <t>ESCOLA MUNICIPAL PROFESSORA ANGELICA DO CARMO SANTOS PAIVA</t>
  </si>
  <si>
    <t>RUA SAO BENTO</t>
  </si>
  <si>
    <t>70</t>
  </si>
  <si>
    <t>PROX. MERCADO NOVO ENTRE MAJ MIGUEL E SANTA MARIA</t>
  </si>
  <si>
    <t>66630030</t>
  </si>
  <si>
    <t>profangelicadocarmosantospaiva@semec.belem.pa.gov</t>
  </si>
  <si>
    <t>DECRETO Nº 95.488/2020 - PMB, DE 03 DE FEVEREIRO DE 2020</t>
  </si>
  <si>
    <t>19/2023 - CME, DE 18/10/2023</t>
  </si>
  <si>
    <t>JOSILAINE PARAGUASSU PINTO DA SILVA</t>
  </si>
  <si>
    <t>0370894- 014</t>
  </si>
  <si>
    <t>15170853</t>
  </si>
  <si>
    <t>ESCOLA MUNICIPAL PROFESSORA GILVANIA MARCIA BARROS DA SILVA</t>
  </si>
  <si>
    <t>RUA SAO CLEMENTE</t>
  </si>
  <si>
    <t>S/N</t>
  </si>
  <si>
    <t>PASSAGEM PRATINHA</t>
  </si>
  <si>
    <t>66630080</t>
  </si>
  <si>
    <t>gilvaniamarciabarrosdasilva@semec.belem.pa.gov.br</t>
  </si>
  <si>
    <t>DECRETO Nº 89.868/2017 - PMB, DE 2 DE OUTUBRO DE 2017</t>
  </si>
  <si>
    <t>15/2025 - CME, DE 17/06/2025</t>
  </si>
  <si>
    <t>ELAINE CRISTINE RODRIGUES PEREIRA MENDES</t>
  </si>
  <si>
    <t>0348236- 018</t>
  </si>
  <si>
    <t>15574172</t>
  </si>
  <si>
    <t>INSTITUTO UNIDOS VENCEREMOS</t>
  </si>
  <si>
    <t>25294</t>
  </si>
  <si>
    <t>66630215</t>
  </si>
  <si>
    <t>32237547</t>
  </si>
  <si>
    <t>09/2025 - CME, DE 06/05/2025</t>
  </si>
  <si>
    <t>CABANAGEM</t>
  </si>
  <si>
    <t>15173860</t>
  </si>
  <si>
    <t>CENTRO EDUCACIONAL DE ENSINO INFANTIL MUNDO ENCANTADO</t>
  </si>
  <si>
    <t>RUA SAO PAULO</t>
  </si>
  <si>
    <t>30</t>
  </si>
  <si>
    <t>66625490</t>
  </si>
  <si>
    <t>83354855</t>
  </si>
  <si>
    <t>35/2023 - CME, DE 22/11/2023</t>
  </si>
  <si>
    <t>15182258</t>
  </si>
  <si>
    <t>CENTRO EDUCACIONAL EU AMO EU CUIDO</t>
  </si>
  <si>
    <t>ALAMEDA ADRIANO ANDRADE</t>
  </si>
  <si>
    <t>6</t>
  </si>
  <si>
    <t>66625140</t>
  </si>
  <si>
    <t>15535827</t>
  </si>
  <si>
    <t>ESCOLA MUNICIPAL DEPUTADO JOAO CARLOS BATISTA</t>
  </si>
  <si>
    <t>TRAVESSA CRISTINA CARDOSO</t>
  </si>
  <si>
    <t>ENTRE AV INDEPENDENCIA E RUA BELEM</t>
  </si>
  <si>
    <t>66625630</t>
  </si>
  <si>
    <t>deputadojoaocarlosbatista@semec.belem.pa.gov.br</t>
  </si>
  <si>
    <t>040/2024 - CME, DE 23/10/2024</t>
  </si>
  <si>
    <t>MARIA GORETTI DE JESUS CARNEIRO</t>
  </si>
  <si>
    <t>0048550- 035</t>
  </si>
  <si>
    <t>SILVANA PIMENTEL BORGES</t>
  </si>
  <si>
    <t>2008394-012</t>
  </si>
  <si>
    <t>COQUEIRO</t>
  </si>
  <si>
    <t>15181642</t>
  </si>
  <si>
    <t>ESCOLA MUNICIPAL ALANA DE SOUZA BARBOSA I</t>
  </si>
  <si>
    <t>ALAMEDA PRIMAVERA</t>
  </si>
  <si>
    <t>20</t>
  </si>
  <si>
    <t>CONJ ARIRI BOLONHA QUADRA 26 RL 09 L 22</t>
  </si>
  <si>
    <t>66650507</t>
  </si>
  <si>
    <t>alanadesouzabarboza1@semec.belem.pa.gov.br</t>
  </si>
  <si>
    <t>DECRETO N.º 113.730/2025 – PMB, DE 23 DE JUNHO DE 2025</t>
  </si>
  <si>
    <t>KATIANE DO ROSARIO CORREA BARBOSA</t>
  </si>
  <si>
    <t>0273511- 025</t>
  </si>
  <si>
    <t>ROSANGELA VIEIRA DE ARAUJO</t>
  </si>
  <si>
    <t>1996843-017</t>
  </si>
  <si>
    <t>15181863</t>
  </si>
  <si>
    <t>ESCOLA MUNICIPAL ALANA DE SOUZA BARBOSA II</t>
  </si>
  <si>
    <t>RUA ESPERANTISTA</t>
  </si>
  <si>
    <t>4</t>
  </si>
  <si>
    <t>66650600</t>
  </si>
  <si>
    <t>escolaanexa2alana@gmail.com</t>
  </si>
  <si>
    <t>DECRETO N.º 113.731/2025 – PMB, DE 23 DE JUNHO DE 2025</t>
  </si>
  <si>
    <t>SANDRA MARIA PANTOJA PINTO</t>
  </si>
  <si>
    <t>0351644- 016</t>
  </si>
  <si>
    <t>REGIANE RIBEIRO TEÓFILO</t>
  </si>
  <si>
    <t>0423351-028</t>
  </si>
  <si>
    <t>15181685</t>
  </si>
  <si>
    <t>ESCOLA MUNICIPAL CRISTO REDENTOR</t>
  </si>
  <si>
    <t>PASSAGEM COMERCIARIOS</t>
  </si>
  <si>
    <t>108</t>
  </si>
  <si>
    <t>66650550</t>
  </si>
  <si>
    <t>cristoredentor@semec.belem.pa.gov.br</t>
  </si>
  <si>
    <t>DECRETO N.º 113.720/2025 – PMB, DE 23 DE JUNHO DE 2025</t>
  </si>
  <si>
    <t>SHEILA ALVES DE ARAUJO</t>
  </si>
  <si>
    <t>0574058- 010</t>
  </si>
  <si>
    <t>IRENILDA MONTEIRO MCHADO</t>
  </si>
  <si>
    <t>0431699-011</t>
  </si>
  <si>
    <t>15169979</t>
  </si>
  <si>
    <t>ESCOLA MUNICIPAL PADRE BRUNO SECHI</t>
  </si>
  <si>
    <t>TRAVESSA WE 8</t>
  </si>
  <si>
    <t>AO LADO DA UNIDADE DE SAUDE</t>
  </si>
  <si>
    <t>66670220</t>
  </si>
  <si>
    <t>pebrunosechi@semec.belem.pa.gov.br</t>
  </si>
  <si>
    <t>DECRETO Nº 113.110/2024 - PMB, DE 23 DE DEZEMBRO DE 2024</t>
  </si>
  <si>
    <t>VANESSA MACHADO DE ANDRADE</t>
  </si>
  <si>
    <t>0347205- 011</t>
  </si>
  <si>
    <t>NEMESIO LOPES MONTEIRO JUNIOR</t>
  </si>
  <si>
    <t>1836340-017</t>
  </si>
  <si>
    <t>15223000</t>
  </si>
  <si>
    <t>ESCOLA MUNICIPAL PROFESSORA ALANA DE SOUZA BARBOZA</t>
  </si>
  <si>
    <t>QUADRA VINTE E SETE</t>
  </si>
  <si>
    <t>ESQ ESPERANTISTA</t>
  </si>
  <si>
    <t>66650185</t>
  </si>
  <si>
    <t>alanasouzabarboza@semec.belem.pa.gov.br</t>
  </si>
  <si>
    <t>PORTARIA Nº. 1.313/2008 - GABS, DE 08 DE OUUBRO DE 2008</t>
  </si>
  <si>
    <t>042/2024 - CME, DE 23/10/2024</t>
  </si>
  <si>
    <t>EULINA DOMINGUES LOPES</t>
  </si>
  <si>
    <t>0411310- 011</t>
  </si>
  <si>
    <t>LIA DA COSTA TAVARES ATAIDE</t>
  </si>
  <si>
    <t>0391050-010</t>
  </si>
  <si>
    <t>15164160</t>
  </si>
  <si>
    <t>ESCOLA MUNICIPAL SAO GASPAR</t>
  </si>
  <si>
    <t>RUA B</t>
  </si>
  <si>
    <t>61</t>
  </si>
  <si>
    <t>CONJUNTO PEDRO TEIXEIRA EM FRENTE A ESCOLA 7 ANOS</t>
  </si>
  <si>
    <t>66670070</t>
  </si>
  <si>
    <t>saogaspar@semec.belem.pa.gov.br</t>
  </si>
  <si>
    <t>PORTARIA Nº. 1.030/2014 - GABS, DE 23 DE ABRIL DE 2014</t>
  </si>
  <si>
    <t>12/2025 - CME, DE 17/06/2025</t>
  </si>
  <si>
    <t>GIRLANE LOURENÇO DOS SANTOS</t>
  </si>
  <si>
    <t>0410551- 015</t>
  </si>
  <si>
    <t>15558363</t>
  </si>
  <si>
    <t>ESCOLA MUNICIPAL SILVIO LEANDRO</t>
  </si>
  <si>
    <t>RODOVIA MARIO COVAS</t>
  </si>
  <si>
    <t>ESQ PASSAGEM COIMBRA</t>
  </si>
  <si>
    <t>66670000</t>
  </si>
  <si>
    <t>silvioleandro@semec.belem.pa.gov.br</t>
  </si>
  <si>
    <t>012/2024 - CME, DE 15/05/2024</t>
  </si>
  <si>
    <t>PAULA ROBERTA DE JESUS MONTEIRO</t>
  </si>
  <si>
    <t>0422754- 013</t>
  </si>
  <si>
    <t>DOMINGAS RAQUEL GONÇALVES MEDEIROS</t>
  </si>
  <si>
    <t>0390364-010</t>
  </si>
  <si>
    <t>MANGUEIRAO</t>
  </si>
  <si>
    <t>15159469</t>
  </si>
  <si>
    <t>ASSOCIACAO BENEFICENTE SAO CARLOS DO BRASIL</t>
  </si>
  <si>
    <t>AVENIDA MANGUEIRAO</t>
  </si>
  <si>
    <t>32</t>
  </si>
  <si>
    <t>66640480</t>
  </si>
  <si>
    <t>87291508</t>
  </si>
  <si>
    <t>32/2023 - CME, DE 22/11/2023</t>
  </si>
  <si>
    <t>15543285</t>
  </si>
  <si>
    <t>ESCOLA MUNICIPAL CATALINA I</t>
  </si>
  <si>
    <t>TRAVESSA QUATRO</t>
  </si>
  <si>
    <t>CONJ. CATALINA</t>
  </si>
  <si>
    <t>66640290</t>
  </si>
  <si>
    <t>catalina1@semec.belem.pa.gov.br</t>
  </si>
  <si>
    <t>PORTARIA Nº 547 / 2007 – PMB, DE 28 DE MAIO DE 2007</t>
  </si>
  <si>
    <t>24/2025 - CME, DE 21/10/2025</t>
  </si>
  <si>
    <t>ROSANGELA ALBELIA RODRIGUES RABELO</t>
  </si>
  <si>
    <t>0248380- 036</t>
  </si>
  <si>
    <t>15558347</t>
  </si>
  <si>
    <t>ESCOLA MUNICIPAL CATALINA II</t>
  </si>
  <si>
    <t>QUADRA NOVE</t>
  </si>
  <si>
    <t>AVENIDA CENTENARIO COM SG FAVARO CJ CATALINA</t>
  </si>
  <si>
    <t>66640642</t>
  </si>
  <si>
    <t>catalina2@semec.belem.pa.gov.br</t>
  </si>
  <si>
    <t>PORTARIA Nº 548 / 2007 – PMB, DE 28 DE MAIO DE 2007</t>
  </si>
  <si>
    <t>08/2026 - CME, DE 09/06/2026</t>
  </si>
  <si>
    <t>NAYARA ARAUJO DA COSTA FIGUEIREDO</t>
  </si>
  <si>
    <t>0566420- 015</t>
  </si>
  <si>
    <t>15152324</t>
  </si>
  <si>
    <t>ESCOLA MUNICIPAL CATALINA III</t>
  </si>
  <si>
    <t>TRAVESSA SARGENTO FAVARRO</t>
  </si>
  <si>
    <t>TV. 15 CEL. AVIADOR BRITO TRAVESSA 15</t>
  </si>
  <si>
    <t>66640200</t>
  </si>
  <si>
    <t>catalina3@semec.belem.pa.gov.br</t>
  </si>
  <si>
    <t>PORTARIA Nº 549 / 2007 – PMB, DE 28 DE MAIO DE 2007</t>
  </si>
  <si>
    <t>06/2024 - CME, DE 21/02/2024</t>
  </si>
  <si>
    <t>SINARA BERNARDO DIAS</t>
  </si>
  <si>
    <t>0348880- 014</t>
  </si>
  <si>
    <t>15043088</t>
  </si>
  <si>
    <t>ESCOLA MUNICIPAL WALTER LEITE CAMINHA</t>
  </si>
  <si>
    <t>AVENIDA MAJOR AVIADOR SILVA FILHO</t>
  </si>
  <si>
    <t>CJ CATALINA TENENTE AVIADOR BRITO</t>
  </si>
  <si>
    <t>66640220</t>
  </si>
  <si>
    <t>emef.walterleite@semec.belem.pa.gov.br</t>
  </si>
  <si>
    <t>13/2025 - CME, DE 17/06/2025</t>
  </si>
  <si>
    <t>RUTE RAIOL COSTA</t>
  </si>
  <si>
    <t xml:space="preserve">MARCIA REGINA SOUZA CORDEIRO
</t>
  </si>
  <si>
    <t>1992031-018</t>
  </si>
  <si>
    <t>15171760</t>
  </si>
  <si>
    <t>SISTEMA DE ENSINO INFANTIL PAULO GUILHERME TOMAZ</t>
  </si>
  <si>
    <t>RUA CHICO MENDES</t>
  </si>
  <si>
    <t>1157</t>
  </si>
  <si>
    <t>66640445</t>
  </si>
  <si>
    <t>82764412</t>
  </si>
  <si>
    <t>31/2023 - CME, DE 22/11/2023</t>
  </si>
  <si>
    <t>PARQUE VERDE</t>
  </si>
  <si>
    <t>15558304</t>
  </si>
  <si>
    <t>ANEXO FLORESTAN FERNANDES DA EM FLORESTAN FERNANDES</t>
  </si>
  <si>
    <t>PASSAGEM SARGENTO GETULIO</t>
  </si>
  <si>
    <t>9</t>
  </si>
  <si>
    <t>66635815</t>
  </si>
  <si>
    <t>28/2019 - CME, DE 27/02/2019</t>
  </si>
  <si>
    <t>VILMA SHEILA AMORAS CONTREIRA</t>
  </si>
  <si>
    <t>1861409- 017</t>
  </si>
  <si>
    <t>ESCOLA MUNICIPAL FLORESTAN FERNANDES</t>
  </si>
  <si>
    <t>RUA YAMADA</t>
  </si>
  <si>
    <t>EDIR DE SOUZA MORAES</t>
  </si>
  <si>
    <t>0557447- 020</t>
  </si>
  <si>
    <t>BRUNA EMANOELLE DA SILVA MORGALHO</t>
  </si>
  <si>
    <t>0391042-017</t>
  </si>
  <si>
    <t>PRATINHA - ICOARACI</t>
  </si>
  <si>
    <t>15569632</t>
  </si>
  <si>
    <t>ESCOLA MUNICIPAL CORDOLINA FONTELLES DE LIMA</t>
  </si>
  <si>
    <t>RUA SAO VICENTE DE PAULA</t>
  </si>
  <si>
    <t>ENTRE ROD. ARTUR BERNARDES E RUA LIBERAL</t>
  </si>
  <si>
    <t>66816010</t>
  </si>
  <si>
    <t>emeif.cordolinaflima@semec.pmb.pa.gov.br</t>
  </si>
  <si>
    <t>33/2011 - CME, DE 21/12/2011</t>
  </si>
  <si>
    <t>DEFINITIVO</t>
  </si>
  <si>
    <t>JOSE NAZARENO FIGUEIREDO E SILVA</t>
  </si>
  <si>
    <t>0347051- 014</t>
  </si>
  <si>
    <t>VALDILENE GALDINO  DA SILVA</t>
  </si>
  <si>
    <t>1882511-015</t>
  </si>
  <si>
    <t>15161544</t>
  </si>
  <si>
    <t>ESCOLA MUNICIPAL DUAS IRMAS BIANCA E ADRIELY</t>
  </si>
  <si>
    <t>RUA DOROTHY</t>
  </si>
  <si>
    <t>ENTRE PASS. SAMAUMA E TRAV 11 DE FEV</t>
  </si>
  <si>
    <t>66816193</t>
  </si>
  <si>
    <t>duasirmasbiancaeadriely@semec.belem.pa.gov.br</t>
  </si>
  <si>
    <t>DECRETO Nº. 73.552/2013 – PMB, 15 DE JANEIRO DE 2013, RETIFICADO PELO DECRETO Nº. 81.011/2014 – PMB, 15 DE OUTUBRO DE 2014</t>
  </si>
  <si>
    <t>26/2015 - CME, DE 11/11/2015</t>
  </si>
  <si>
    <t>GUSTAVO MENDES</t>
  </si>
  <si>
    <t>RENATO MACIEIRA FIGUEIREDO</t>
  </si>
  <si>
    <t>0427284-015</t>
  </si>
  <si>
    <t>15166821</t>
  </si>
  <si>
    <t>ESCOLA MUNICIPAL NOVA ALIANCA</t>
  </si>
  <si>
    <t>PASSAGEM PROFETA ISAIAS</t>
  </si>
  <si>
    <t>216</t>
  </si>
  <si>
    <t>AO LADO DA CAIXA D AGUA RUA EM FRENTE AO CIABA</t>
  </si>
  <si>
    <t>66816250</t>
  </si>
  <si>
    <t>novaalianca@semec.belem.pa.gov.br</t>
  </si>
  <si>
    <t>DECRETO Nº 80.450/2014-PMB, DE 11 DE AGOSTO DE 2014</t>
  </si>
  <si>
    <t>07/2022 - CME, DE 21/09/2022</t>
  </si>
  <si>
    <t>CLAUDIA MARTINS GOMES</t>
  </si>
  <si>
    <t>0352390- 018</t>
  </si>
  <si>
    <t>JOSE ANTONIO VAZ VILHENA</t>
  </si>
  <si>
    <t>0427241-014</t>
  </si>
  <si>
    <t>15173844</t>
  </si>
  <si>
    <t>ESCOLA MUNICIPAL PRATINHA</t>
  </si>
  <si>
    <t>RODOVIA ARTUR BERNARDES</t>
  </si>
  <si>
    <t>199</t>
  </si>
  <si>
    <t>EM FRENTE A FABRICA DA CERPA</t>
  </si>
  <si>
    <t>66816000</t>
  </si>
  <si>
    <t>emei.pratinha@semec.belem.pa.gov.br</t>
  </si>
  <si>
    <t>DECRETO Nº 91.275/2018 - PMB, DE 21 DE MAIO DE 2018</t>
  </si>
  <si>
    <t>04/2014 - CME, DE 26/03/2014</t>
  </si>
  <si>
    <t>MIRIAM AIDA DA SILVA SOARES</t>
  </si>
  <si>
    <t>0348678- 010</t>
  </si>
  <si>
    <t>15547272</t>
  </si>
  <si>
    <t>ESCOLA MUNICIPAL PRATINHA II</t>
  </si>
  <si>
    <t>EM FRENTE A CERPASA AP 101 102</t>
  </si>
  <si>
    <t>uei.pratinha@semec.belem.pa.gov.br</t>
  </si>
  <si>
    <t>DECRETO N.º 113.734/2025 – PMB, DE 23 DE JUNHO DE 2025</t>
  </si>
  <si>
    <t>VANIA DE FATIMA DE SOUZA NERY</t>
  </si>
  <si>
    <t>1923919- 021</t>
  </si>
  <si>
    <t>15181774</t>
  </si>
  <si>
    <t>ESCOLA MUNICIPAL SAO JOAO PAULO II</t>
  </si>
  <si>
    <t>576</t>
  </si>
  <si>
    <t>PASS. ENGELHARD</t>
  </si>
  <si>
    <t>ueisaojose@gmail.com</t>
  </si>
  <si>
    <t>DECRETO Nº 111.991/2024 - PMB, DE 13 DE AGOSTO DE 2024</t>
  </si>
  <si>
    <t>FABIOLA CALDAS DOS SANTOS</t>
  </si>
  <si>
    <t>0363936- 025</t>
  </si>
  <si>
    <t>SAO CLEMENTE</t>
  </si>
  <si>
    <t>15170845</t>
  </si>
  <si>
    <t>ESCOLA MUNICIPAL PROFESSORA CLEONICE OLIVEIRA CONCEICAO</t>
  </si>
  <si>
    <t>RUA DEZESSEIS DE AGOSTO</t>
  </si>
  <si>
    <t>102</t>
  </si>
  <si>
    <t>ESQ C TV 4 RESIDENCIAL CAMPOS ELIZIOS</t>
  </si>
  <si>
    <t>66643610</t>
  </si>
  <si>
    <t>profcleoniceoliveiraconceicao@semec.belem.pa.gov.b</t>
  </si>
  <si>
    <t>DECRETO Nº 89.867/2017 - PMB, DE 2 DE OUTUBRO DE 2017</t>
  </si>
  <si>
    <t>LUANDA DA SILVA WANZELLER MAIA</t>
  </si>
  <si>
    <t>0372501- 010</t>
  </si>
  <si>
    <t>TAPANA - ICOARACI</t>
  </si>
  <si>
    <t>15586022</t>
  </si>
  <si>
    <t>ASSOCIACAO C DO BAIRRO DO TAPANA</t>
  </si>
  <si>
    <t>23</t>
  </si>
  <si>
    <t>66833605</t>
  </si>
  <si>
    <t>86018168</t>
  </si>
  <si>
    <t>013/2024 - CME, DE 15/05/2024</t>
  </si>
  <si>
    <t>15174565</t>
  </si>
  <si>
    <t>ASSOCIACAO DE MORADORES DO RESIDENCIAL BOM JESUS</t>
  </si>
  <si>
    <t>RUA NOVA</t>
  </si>
  <si>
    <t>17</t>
  </si>
  <si>
    <t>66825227</t>
  </si>
  <si>
    <t>38/2023 - CME, DE 13/12/2023</t>
  </si>
  <si>
    <t>15096378</t>
  </si>
  <si>
    <t>C C EDUC SAO FRANCISCO DE ASSIS</t>
  </si>
  <si>
    <t>RUA ALMIRANTE TAMANDARE</t>
  </si>
  <si>
    <t>2084</t>
  </si>
  <si>
    <t>66825260</t>
  </si>
  <si>
    <t>32786950</t>
  </si>
  <si>
    <t>42/2023 - CME, DE 13/12/2023</t>
  </si>
  <si>
    <t>15182185</t>
  </si>
  <si>
    <t>CSE MEU AMIGO JHON TAPANA OSC ANEXO INSTITUTO JUNTOS E ALIANCADOS</t>
  </si>
  <si>
    <t>RUA PRESIDENTE DUTRA</t>
  </si>
  <si>
    <t>152</t>
  </si>
  <si>
    <t>66825050</t>
  </si>
  <si>
    <t>15043070</t>
  </si>
  <si>
    <t>ESCOLA MUNICIPAL GABRIEL LAGE DA SILVA</t>
  </si>
  <si>
    <t>RUA IRMA ADELAIDE</t>
  </si>
  <si>
    <t>RESIDENCIAL PARQUE UNIAO ENTRE RUA QUINTINO E CARLOS MARIGUELA</t>
  </si>
  <si>
    <t>66830120</t>
  </si>
  <si>
    <t>gabriellagedasilva@semec.belem.pa.gov.br</t>
  </si>
  <si>
    <t>17/2025 - CME, DE 17/06/2025</t>
  </si>
  <si>
    <t>ROSANNY DO PERPETUO SOCORRO DE SOUZA LIMA</t>
  </si>
  <si>
    <t>0375675- 019</t>
  </si>
  <si>
    <t>ROBERTA VALADARES BRITO</t>
  </si>
  <si>
    <t>1992527-016</t>
  </si>
  <si>
    <t>15563464</t>
  </si>
  <si>
    <t>ESCOLA MUNICIPAL JOSE ALVES CUNHA</t>
  </si>
  <si>
    <t>RUA SANTOS DOS SANTOS</t>
  </si>
  <si>
    <t>PASSAGEM OSEIAS</t>
  </si>
  <si>
    <t>66825620</t>
  </si>
  <si>
    <t>josealvescunha@semec.belem.pa.gov.br</t>
  </si>
  <si>
    <t>49/2018 - CME, DE 06/06/2018</t>
  </si>
  <si>
    <t>DOMINGAS MACEDO PEREIRA</t>
  </si>
  <si>
    <t>0370584- 015</t>
  </si>
  <si>
    <t>FABIO LIMA MONTEIRO</t>
  </si>
  <si>
    <t>1996860-019</t>
  </si>
  <si>
    <t>15043029</t>
  </si>
  <si>
    <t>ESCOLA MUNICIPAL MARIA HELOISA DE CASTRO</t>
  </si>
  <si>
    <t>ESTRADA DO TAPANA</t>
  </si>
  <si>
    <t>ESQUINA COM A 5 RUA RODOVIA DO TAPANA</t>
  </si>
  <si>
    <t>66825010</t>
  </si>
  <si>
    <t>mariaheloisadecastro@semec.belem.pa.gov.br</t>
  </si>
  <si>
    <t>28/2023 - CME, DE 22/11/2023</t>
  </si>
  <si>
    <t>ARLENE FIGUEIREDO LAMEIRA</t>
  </si>
  <si>
    <t>0346098- 017</t>
  </si>
  <si>
    <t>MARILENE DOS SANTOS MONTEIRO</t>
  </si>
  <si>
    <t>1836633-014</t>
  </si>
  <si>
    <t>15181979</t>
  </si>
  <si>
    <t>ESCOLA MUNICIPAL NOSSA SENHORA APARECIDA</t>
  </si>
  <si>
    <t>RUA INDEPENDENCIA</t>
  </si>
  <si>
    <t>1</t>
  </si>
  <si>
    <t>PARQUE UNIAO</t>
  </si>
  <si>
    <t>66830335</t>
  </si>
  <si>
    <t>upnossasenhoraaparecida@gmail.com</t>
  </si>
  <si>
    <t>DECRETO Nº 113.729/2025 - PMB, DE 23 DE JUNHO DE 2020</t>
  </si>
  <si>
    <t>MARIA RAIMUNDA DIAS SANTAREM</t>
  </si>
  <si>
    <t>0041548- 019</t>
  </si>
  <si>
    <t>ROSIVALDO GUERREIRO PINHEIRO</t>
  </si>
  <si>
    <t>1916459-029</t>
  </si>
  <si>
    <t>15167690</t>
  </si>
  <si>
    <t>ESCOLA MUNICIPAL NOSSO LAR</t>
  </si>
  <si>
    <t>RUA PRESIDENTE CASTELO BRANCO</t>
  </si>
  <si>
    <t>250</t>
  </si>
  <si>
    <t>3 RUA DO TAPANA ENTRE ROD. DO TAPANA E TRAV UBERABA</t>
  </si>
  <si>
    <t>66825070</t>
  </si>
  <si>
    <t>nossolar@semec.belem.pa.gov.br</t>
  </si>
  <si>
    <t>DECRETO Nº. 81.565/2014 – PMB, 16 DE DEZEMBRO DE 2014</t>
  </si>
  <si>
    <t>GISELLE DE NAZARE SANTOS OLIVEIRA</t>
  </si>
  <si>
    <t>0410977- 012</t>
  </si>
  <si>
    <t>15237001</t>
  </si>
  <si>
    <t>ESCOLA MUNICIPAL PROFESSORA ALDA EUTROPIO DE SOUZA</t>
  </si>
  <si>
    <t>ALAMEDA SUCUPIRA</t>
  </si>
  <si>
    <t>ROD TAPANA KM 02 ENTRE RUA SAO CLEMENTE E RUA SUCUPIRA</t>
  </si>
  <si>
    <t>66830680</t>
  </si>
  <si>
    <t>aldaeutropiodesouza@semec.belem.pa.gov.br</t>
  </si>
  <si>
    <t>010/2023 - CME, DE 21/06/2023</t>
  </si>
  <si>
    <t>TATIANE SANTOS DA SILVA</t>
  </si>
  <si>
    <t>0373753- 012</t>
  </si>
  <si>
    <t>RUAN TAVARES FREIRES</t>
  </si>
  <si>
    <t>0390674-010</t>
  </si>
  <si>
    <t>15175570</t>
  </si>
  <si>
    <t>ESCOLA MUNICIPAL PROFESSORA ALDAIR NERI LOPES</t>
  </si>
  <si>
    <t>ALAMEDA AMAZONIA</t>
  </si>
  <si>
    <t>14</t>
  </si>
  <si>
    <t>LOTEAMENTO ACAI PROX. A RUA DO RANARIO</t>
  </si>
  <si>
    <t>66825285</t>
  </si>
  <si>
    <t>profaldairnerilopes@semec.belem.pa.gov.br</t>
  </si>
  <si>
    <t>DECRETO Nº 95.487/2020 - PMB, DE 03 DE FEVEREIRO DE 2020</t>
  </si>
  <si>
    <t>SHEYLA PAULINE FREIRE DA SILVA</t>
  </si>
  <si>
    <t>0348317- 018</t>
  </si>
  <si>
    <t>15170829</t>
  </si>
  <si>
    <t>ESCOLA MUNICIPAL PROFESSORA ELVIRA SACRAMENTO DE QUADROS</t>
  </si>
  <si>
    <t>ALAMEDA J</t>
  </si>
  <si>
    <t>100</t>
  </si>
  <si>
    <t>CONJUNTO BOSQUE ARAGUAIA COMUNIDADE VITORIA</t>
  </si>
  <si>
    <t>66825539</t>
  </si>
  <si>
    <t>elvirasacramentodequadros@semec.belem.pa.gov.br</t>
  </si>
  <si>
    <t>DECRETO Nº 87.368/2017 - PMB, DE 06 DE FEVEREIRO DE 2017</t>
  </si>
  <si>
    <t>THAYS KARINA DA SILVA SOUSA</t>
  </si>
  <si>
    <t xml:space="preserve"> 0567175- 014</t>
  </si>
  <si>
    <t>15181901</t>
  </si>
  <si>
    <t>ESCOLA MUNICIPAL PROFESSORA PERPETUO SOCORRO JESUS FIGUEIREDO</t>
  </si>
  <si>
    <t>1306</t>
  </si>
  <si>
    <t>escola.perpetuo.socorro@semec.belem.pa.gov.br</t>
  </si>
  <si>
    <t>DECRETO Nº 97.641/2020 - PMB, DE 26 DE OUTUBRO DE 2020</t>
  </si>
  <si>
    <t>PRISCILLA DE CASSIA ARAUJO MOURA</t>
  </si>
  <si>
    <t>0450707- 024</t>
  </si>
  <si>
    <t xml:space="preserve">JANEIDE FARIAS DIAS </t>
  </si>
  <si>
    <t>0421901-012</t>
  </si>
  <si>
    <t>UNA</t>
  </si>
  <si>
    <t>15181723</t>
  </si>
  <si>
    <t>ESCOLA MUNICIPAL NOVA ESPERANCA</t>
  </si>
  <si>
    <t>RODOVIA TRANSCOQUEIRO</t>
  </si>
  <si>
    <t>65</t>
  </si>
  <si>
    <t>66652300</t>
  </si>
  <si>
    <t>anexonovaesperanca@gmail.com</t>
  </si>
  <si>
    <t>DECRETO Nº 113.725/2025 - PMB, DE 23 DE JUNHO DE 2020</t>
  </si>
  <si>
    <t>ANA PAULA DA SILVA CARNEIRO</t>
  </si>
  <si>
    <t>0346705- 029</t>
  </si>
  <si>
    <t>DAENT</t>
  </si>
  <si>
    <t>AGUAS LINDAS</t>
  </si>
  <si>
    <t>15175626</t>
  </si>
  <si>
    <t>CRECHE ESCOLA IRIS CRIANCAS AOS OLHOS DE DEUS</t>
  </si>
  <si>
    <t>RUA OITO DE MARCO</t>
  </si>
  <si>
    <t>41 B</t>
  </si>
  <si>
    <t>66690200</t>
  </si>
  <si>
    <t>18/2023 - CME, DE 18/10/2023</t>
  </si>
  <si>
    <t>15167488</t>
  </si>
  <si>
    <t>ESCOLA MUNICIPAL JARDIM NOVA VIDA</t>
  </si>
  <si>
    <t>RUA DO FIO</t>
  </si>
  <si>
    <t>83</t>
  </si>
  <si>
    <t>RESIDENCIAL JARDIM NOVA VIDA</t>
  </si>
  <si>
    <t>66690796</t>
  </si>
  <si>
    <t>DECRETO Nº 85.697/2016 - PMB, DE 9 DE MAIO DE 2016</t>
  </si>
  <si>
    <t>ELAINE CRISTINA DO NASCIMENTO SILVA</t>
  </si>
  <si>
    <t>0347680- 011</t>
  </si>
  <si>
    <t>15181847</t>
  </si>
  <si>
    <t>ESCOLA MUNICIPAL MARIA DA CONCEICAO DE SOUZA</t>
  </si>
  <si>
    <t>CJ NOVA VIDA RUA WANDERLEI BELEM PROXIMO AO LINHO DO CONJUNTO JARDIM NOVA VIDAVID</t>
  </si>
  <si>
    <t>mariaconceicaodesouza@semec.belem.pa.gov.br</t>
  </si>
  <si>
    <t>DECRETO Nº 111.987/2024 - PMB, DE 13 DE AGOSTO DE 2024</t>
  </si>
  <si>
    <t>02/2025 - CME, DE 06/05/2025</t>
  </si>
  <si>
    <t>GLAUCILENE SANTOS DA SILVA</t>
  </si>
  <si>
    <t>0349879- 010</t>
  </si>
  <si>
    <t>15573826</t>
  </si>
  <si>
    <t>ESCOLA MUNICIPAL OLGA BENARIO</t>
  </si>
  <si>
    <t>RUA ROSA DE LUXEMBURGO</t>
  </si>
  <si>
    <t>LOTEAMENTO OLGA BENARIO RUA DOS CABANOS E CARLOS PRESTES</t>
  </si>
  <si>
    <t>66690190</t>
  </si>
  <si>
    <t>olgabenario@semec.belem.pa.gov.br</t>
  </si>
  <si>
    <t>27/2020 - CME, DE 18/11/2020</t>
  </si>
  <si>
    <t>OCIMAR MARCELO SOUZA DE CARVALHO</t>
  </si>
  <si>
    <t>1895125- 011</t>
  </si>
  <si>
    <t>WESLEY JOSE BORGES SOARES</t>
  </si>
  <si>
    <t>0391182-013</t>
  </si>
  <si>
    <t>15161560</t>
  </si>
  <si>
    <t>ESCOLA MUNICIPAL PARQUE BOLONHA</t>
  </si>
  <si>
    <t>CONJUNTO VERDEJANTE 3 RUA DA MATA QUADRA XVI E XV</t>
  </si>
  <si>
    <t>parquebolonha@semec.belem.pa.gov.br</t>
  </si>
  <si>
    <t>DECRETO Nº 72.135/2012-PMB, DE 08 DE NOVEMBRO DE 2012</t>
  </si>
  <si>
    <t>09/2019 - CME, DE 04/01/2019</t>
  </si>
  <si>
    <t>ALCEMIR PANTOJA RODRIGUES</t>
  </si>
  <si>
    <t>0320765- 024</t>
  </si>
  <si>
    <t>ELMAR MOTA JANSEN FILHO</t>
  </si>
  <si>
    <t>0391166-018</t>
  </si>
  <si>
    <t>15166813</t>
  </si>
  <si>
    <t>ESCOLA MUNICIPAL VERDEJANTE</t>
  </si>
  <si>
    <t>RUA OSVALDO CRUZ</t>
  </si>
  <si>
    <t>45</t>
  </si>
  <si>
    <t>CONJUNTO VERDEJANTE QUADRA 2</t>
  </si>
  <si>
    <t>66690395</t>
  </si>
  <si>
    <t>luciana.sousa@hotmail.com.br</t>
  </si>
  <si>
    <t>PORTARIA Nº. 0157/2015 - GABS, DE 23 DE FEVEREIRO DE 2015</t>
  </si>
  <si>
    <t>LUCIANA CARVALHO DE SOUSA SABIO RAMOS</t>
  </si>
  <si>
    <t>0372706- 010</t>
  </si>
  <si>
    <t>15181880</t>
  </si>
  <si>
    <t>ESCOLA MUNICIPAL VERDEJANTE I</t>
  </si>
  <si>
    <t>DANET</t>
  </si>
  <si>
    <t>QUADRA QUATRO</t>
  </si>
  <si>
    <t>7</t>
  </si>
  <si>
    <t>CONJUNTO VERDEJANTE I RUA E JARDIM NOVA VIDA</t>
  </si>
  <si>
    <t>66690450</t>
  </si>
  <si>
    <t>escolaverdejante1@semec.pmb.pa.gov.br</t>
  </si>
  <si>
    <t>DECRETO N.º 113.727/2025 – PMB, DE 23 DE JUNHO DE 2025</t>
  </si>
  <si>
    <t>SUELLEN FARIAS DOS SANTOS</t>
  </si>
  <si>
    <t>0350508- 011</t>
  </si>
  <si>
    <t>MARIA DO SOCORRO DOS SANTOS PINHEIRO</t>
  </si>
  <si>
    <t>0392677-016</t>
  </si>
  <si>
    <t>AURA</t>
  </si>
  <si>
    <t>15167380</t>
  </si>
  <si>
    <t>ESCOLA MUNICIPAL SANTANA DO AURA</t>
  </si>
  <si>
    <t>ESTRADA SANTANA DO AURA</t>
  </si>
  <si>
    <t>LOTEAMENTO PARK AURA</t>
  </si>
  <si>
    <t>66691010</t>
  </si>
  <si>
    <t>santanadoaura@semec.belem.pa.gov.br</t>
  </si>
  <si>
    <t>DECRETO Nº 82.593/2015 - PMB, DE 20 DE ABRIL DE 2015</t>
  </si>
  <si>
    <t>36/2024 - CME, DE 23/10/2024</t>
  </si>
  <si>
    <t>CARINE FABIANE COELHO FIGUEIREDO</t>
  </si>
  <si>
    <t>0428280- 013</t>
  </si>
  <si>
    <t>DILMA ROSA DOS REMEDIOS</t>
  </si>
  <si>
    <t>0390852-015</t>
  </si>
  <si>
    <t>CASTANHEIRA</t>
  </si>
  <si>
    <t>15563472</t>
  </si>
  <si>
    <t>ANEXO ARIANA LIVIA AMOEDO DE CASTRO DA EM PROFESSORA TEREZINHA SOUZA</t>
  </si>
  <si>
    <t>RUA JOSE ASSEGAWA</t>
  </si>
  <si>
    <t>143</t>
  </si>
  <si>
    <t>RUA JOSE HASSEGAWA</t>
  </si>
  <si>
    <t>66645070</t>
  </si>
  <si>
    <t>DECRETO Nº 111.990/2024 - PMB, DE 13 DE AGOSTO DE 2024</t>
  </si>
  <si>
    <t>22/2023 - CME, DE 18/10/2023</t>
  </si>
  <si>
    <t>DANIELY SENA DOS SANTOS</t>
  </si>
  <si>
    <t>0347817- 017</t>
  </si>
  <si>
    <t>15182452</t>
  </si>
  <si>
    <t>CENTRO EDUCACIONAL FAROL DO SABER</t>
  </si>
  <si>
    <t>RODOVIA BR 316</t>
  </si>
  <si>
    <t>3262</t>
  </si>
  <si>
    <t>66645000</t>
  </si>
  <si>
    <t>ESCOLA MUNICIPAL PROFESSORA TEREZINHA SOUZA</t>
  </si>
  <si>
    <t>28</t>
  </si>
  <si>
    <t>BR 316</t>
  </si>
  <si>
    <t>profterezinhasouza@semec.belem.pa.gov.br</t>
  </si>
  <si>
    <t>SANDRA SUELY DA SILVA GOMES</t>
  </si>
  <si>
    <t>0350281- 017</t>
  </si>
  <si>
    <t>JACINEIDE DE FATIMA OLIVEIRA SILVA</t>
  </si>
  <si>
    <t>1915088-019</t>
  </si>
  <si>
    <t>15152316</t>
  </si>
  <si>
    <t>ESCOLA MUNICIPAL ROSEMARY JORGE</t>
  </si>
  <si>
    <t>RUA MARIANO</t>
  </si>
  <si>
    <t>JOAO PAULO II E BR316</t>
  </si>
  <si>
    <t>66645415</t>
  </si>
  <si>
    <t>uei.rosemaryjorge@semec.pa.gov.br</t>
  </si>
  <si>
    <t>PORTARIA Nº 555 / 2007 – PMB, DE 28 DE MAIO DE 2007</t>
  </si>
  <si>
    <t>11/2025 - CME, DE 17/06/2025</t>
  </si>
  <si>
    <t>ANA CARLA SOUSA FREIRE DE ARAUJO</t>
  </si>
  <si>
    <t>0352080- 019</t>
  </si>
  <si>
    <t>CURIO-UTINGA</t>
  </si>
  <si>
    <t>CSE MEU AMIGO JHON CURIO UTINGA OSC ANEXO INSTITUTO ACELERA AMAZONIA</t>
  </si>
  <si>
    <t>2212</t>
  </si>
  <si>
    <t>66610770</t>
  </si>
  <si>
    <t>15558355</t>
  </si>
  <si>
    <t>ESCOLA MUNICIPAL JESUS MARIA E JOSE</t>
  </si>
  <si>
    <t>79</t>
  </si>
  <si>
    <t>66610330</t>
  </si>
  <si>
    <t>jesusmariaejose@semec.belem.pa.gov.br</t>
  </si>
  <si>
    <t>PORTARIA Nº 557 / 2007 – PMB, DE 28 DE MAIO DE 2007</t>
  </si>
  <si>
    <t>26/2025 - CME, DE 21/10/2025</t>
  </si>
  <si>
    <t>LORENA THAIS COSTA CAMPOS</t>
  </si>
  <si>
    <t>0566586- 010</t>
  </si>
  <si>
    <t>15577767</t>
  </si>
  <si>
    <t>ESCOLA MUNICIPAL WILSON BAHIA DE SOUZA</t>
  </si>
  <si>
    <t>PASSAGEM CRUZEIRO</t>
  </si>
  <si>
    <t>ESQUINA DA JOAO PAULO II</t>
  </si>
  <si>
    <t>66610755</t>
  </si>
  <si>
    <t>wilsonbahidadesouza@semec.belem.pa.gov.br</t>
  </si>
  <si>
    <t>PORTARIA Nº 558 / 2007 – PMB, DE 28 DE MAIO DE 2007</t>
  </si>
  <si>
    <t>026/2024 - CME, DE 19/06/2024</t>
  </si>
  <si>
    <t>MARIA PAULA FERREIRA MAIA DA SILVA</t>
  </si>
  <si>
    <t>0348449- 011</t>
  </si>
  <si>
    <t>MARACANGALHA</t>
  </si>
  <si>
    <t>15043592</t>
  </si>
  <si>
    <t>ESCOLA MUNICIPAL PROFESSORA IDA OLIVEIRA</t>
  </si>
  <si>
    <t>RUA ONZE</t>
  </si>
  <si>
    <t>CONJUNTO PROVIDENCIA ENTRE AVENIDA NORTE E AVENIDA SUL</t>
  </si>
  <si>
    <t>66110410</t>
  </si>
  <si>
    <t>profidadeoliveira@semec.belem.pa.gov.br</t>
  </si>
  <si>
    <t>32/2025 - CME, DE 19/12/2025</t>
  </si>
  <si>
    <t>ADNILDO PINHEIRO WANZELLER</t>
  </si>
  <si>
    <t>0346063- 019</t>
  </si>
  <si>
    <t>MARIA LUCIA QUEIROZ ARRUDA</t>
  </si>
  <si>
    <t>2031876-010</t>
  </si>
  <si>
    <t>15589021</t>
  </si>
  <si>
    <t>ESCOLA MUNICIPAL PROVIDENCIA</t>
  </si>
  <si>
    <t>AVENIDA SUL</t>
  </si>
  <si>
    <t>NA FEIRA CJ PROVIDENCIA</t>
  </si>
  <si>
    <t>66110071</t>
  </si>
  <si>
    <t>uei.providencia@semec.belem.pa.gov.br</t>
  </si>
  <si>
    <t>PORTARIA Nº 559 / 2007 – PMB, DE 28 DE MAIO DE 2007</t>
  </si>
  <si>
    <t>07/2023 - CME, DE 12/04/2023</t>
  </si>
  <si>
    <t>RENATA MAC DOWELL RIBEIRO</t>
  </si>
  <si>
    <t>0573965- 013</t>
  </si>
  <si>
    <t>MARAMBAIA</t>
  </si>
  <si>
    <t>15142264</t>
  </si>
  <si>
    <t>ESCOLA MUNICIPAL PALMIRA LINS DE CARVALHO</t>
  </si>
  <si>
    <t>RUA F</t>
  </si>
  <si>
    <t>CJ EUCLIDES FIGUEIREDO QD 3</t>
  </si>
  <si>
    <t>66620770</t>
  </si>
  <si>
    <t>palmiralinsdecarvalho@semec.belem.pa.gov.br</t>
  </si>
  <si>
    <t>04/2026 CME, DE 28/04/2026</t>
  </si>
  <si>
    <t>ROSILEA PANTOJA DOS SANTOS</t>
  </si>
  <si>
    <t>0175811- 016</t>
  </si>
  <si>
    <t>ANA CLAUDIA SILVA DO VALE</t>
  </si>
  <si>
    <t>1992023-015</t>
  </si>
  <si>
    <t>15152332</t>
  </si>
  <si>
    <t>ESCOLA MUNICIPAL PROFESSORA AURORA GUIMARES VIEIRA</t>
  </si>
  <si>
    <t>ALAMEDA AGUA CRISTAL</t>
  </si>
  <si>
    <t>ENTRE RUA ANCHIETA E RUA ESPERANTO</t>
  </si>
  <si>
    <t>66615032</t>
  </si>
  <si>
    <t>profaauroraguimaraesvieira@semec.belem.pa.gov.br</t>
  </si>
  <si>
    <t>DECRETO Nº 96.723/2020 - PMB, DE 20 DE JULHO DE 2020</t>
  </si>
  <si>
    <t>MARY ANNE GAMA DE ALMADA</t>
  </si>
  <si>
    <t>0175900- 019</t>
  </si>
  <si>
    <t>15040992</t>
  </si>
  <si>
    <t>ESCOLA MUNICIPAL REPUBLICA DE PORTUGAL</t>
  </si>
  <si>
    <t>RUA ANCHIETA</t>
  </si>
  <si>
    <t>359</t>
  </si>
  <si>
    <t>ENTRE AVENIDA DALVA E CANAL AGUA CRISTAL</t>
  </si>
  <si>
    <t>66615030</t>
  </si>
  <si>
    <t>republicadeportugal@semec.belem.pa.gov.br</t>
  </si>
  <si>
    <t>03/2026 - CME, DE 28/04/2026</t>
  </si>
  <si>
    <t>THIAGO AUGUSTO DE OLIVEIRA DA CONCEIÇÃO</t>
  </si>
  <si>
    <t xml:space="preserve"> 0373656- 025</t>
  </si>
  <si>
    <t>SHIRLENE SOUSA DA NATIVIDADE</t>
  </si>
  <si>
    <t>0390534-013</t>
  </si>
  <si>
    <t>15181871</t>
  </si>
  <si>
    <t>ESCOLA MUNICIPAL SANTA RITA DE CASSIA</t>
  </si>
  <si>
    <t>PASSAGEM JARBAS PASSARINHO</t>
  </si>
  <si>
    <t>RUA DE MARINHA E RODOLFO CHERMONT</t>
  </si>
  <si>
    <t>66620490</t>
  </si>
  <si>
    <t>anexo.santaritadecassia@semec.belem.pa.gov.br</t>
  </si>
  <si>
    <t>DECRETO N.º 113.724/2025 – PMB, DE 23 DE JUNHO DE 2025</t>
  </si>
  <si>
    <t>08/09/0206</t>
  </si>
  <si>
    <t>JULY RAFAELA VASCONCELOS CESAR CALDAS</t>
  </si>
  <si>
    <t>0346381- 010</t>
  </si>
  <si>
    <t>SOUZA</t>
  </si>
  <si>
    <t>15168468</t>
  </si>
  <si>
    <t>ESCOLA MUNICIPAL PAULO ALMEIDA BRASIL</t>
  </si>
  <si>
    <t>PASSAGEM SANTA TERESINHA</t>
  </si>
  <si>
    <t>11</t>
  </si>
  <si>
    <t>CJ IMPERIO AMAZONICO</t>
  </si>
  <si>
    <t>66613760</t>
  </si>
  <si>
    <t>emeif.palmeidabrasil@semec.pmb.pa.gov.br</t>
  </si>
  <si>
    <t>DECRETO Nº 86.315/2016 – PMB, DE 5 DE AGOSTO DE 2016</t>
  </si>
  <si>
    <t>034/2024 - CME, DE 23/10/2024</t>
  </si>
  <si>
    <t>ERICA CRISTINA BARBOSA DA GAMA</t>
  </si>
  <si>
    <t>0158100- 018</t>
  </si>
  <si>
    <t>JOSE RIBAMAR PESSOA DO NASCIMENTO</t>
  </si>
  <si>
    <t>0390577-014</t>
  </si>
  <si>
    <t>DAGUA</t>
  </si>
  <si>
    <t>CANUDOS</t>
  </si>
  <si>
    <t>15181669</t>
  </si>
  <si>
    <t>ESCOLA MUNICIPAL SANTO AGOSTINHO DA ALDEIA</t>
  </si>
  <si>
    <t>AVENIDA CIPRIANO SANTOS</t>
  </si>
  <si>
    <t>583/587</t>
  </si>
  <si>
    <t>66070605</t>
  </si>
  <si>
    <t>santoagostinho@semec.belem.pa.gov.br</t>
  </si>
  <si>
    <t>DECRETO N.º 113.726/2025 – PMB, DE 23 DE JUNHO DE 2025</t>
  </si>
  <si>
    <t>MARIA AMELIA DA COSTA BARBOSA</t>
  </si>
  <si>
    <t>0175781- 028</t>
  </si>
  <si>
    <t>MARIA NAZARE MARINHO DA MOTA</t>
  </si>
  <si>
    <t>1862758-023</t>
  </si>
  <si>
    <t>CONDOR</t>
  </si>
  <si>
    <t>15152030</t>
  </si>
  <si>
    <t>ESCOLA MUNICIPAL ALLAN KARDEC</t>
  </si>
  <si>
    <t>PASSAGEM ALLAN KARDEC</t>
  </si>
  <si>
    <t>1894</t>
  </si>
  <si>
    <t>AV ROBERTO CAMELIER</t>
  </si>
  <si>
    <t>66033130</t>
  </si>
  <si>
    <t>uei.allankardec@semec.belem.pa.gov.br</t>
  </si>
  <si>
    <t>PORTARIA Nº 540 / 2007 – PMB, DE 28 DE MAIO DE 2007</t>
  </si>
  <si>
    <t>8/2019 CME, DE 04/01/2019</t>
  </si>
  <si>
    <t>MAXIMIANA ANTONIA DA SILVA</t>
  </si>
  <si>
    <t>0348651- 015</t>
  </si>
  <si>
    <t>15040879</t>
  </si>
  <si>
    <t>ESCOLA MUNICIPAL ANTONIO CARVALHO BRASIL</t>
  </si>
  <si>
    <t>AVENIDA ALCINDO CACELA</t>
  </si>
  <si>
    <t>3743</t>
  </si>
  <si>
    <t>PASSAGEM VINTE E UM DE ABRIL PASS ORQUIDEA</t>
  </si>
  <si>
    <t>66065213</t>
  </si>
  <si>
    <t>antoniocarvalhobrasil@semec.belem.pa.gov.br</t>
  </si>
  <si>
    <t>66/2018 - CME, DE 05/12/2018</t>
  </si>
  <si>
    <t xml:space="preserve">CARMEM LUCIA SANTOS </t>
  </si>
  <si>
    <t>SILVIA LUCIA OLIVEIRA DA COSTA</t>
  </si>
  <si>
    <t>198808-011</t>
  </si>
  <si>
    <t>15040836</t>
  </si>
  <si>
    <t>ESCOLA MUNICIPAL NESTOR NONATO LIMA</t>
  </si>
  <si>
    <t>QUADRA F</t>
  </si>
  <si>
    <t>CONJ RADIONAL II QUADRA F</t>
  </si>
  <si>
    <t>66033085</t>
  </si>
  <si>
    <t>nestornonatodelima@semec.belem.pa.gov.br</t>
  </si>
  <si>
    <t>33/2025 - CME, DE 19/12/2025</t>
  </si>
  <si>
    <t>FERNANDO TEIXEIRA DA SILVA</t>
  </si>
  <si>
    <t>0427896- 010</t>
  </si>
  <si>
    <t>MARIA DO SOCORRO MIRANDA MONTEIRO</t>
  </si>
  <si>
    <t>0047724-013</t>
  </si>
  <si>
    <t>15040976</t>
  </si>
  <si>
    <t>ESCOLA MUNICIPAL SILVIO NASCIMENTO</t>
  </si>
  <si>
    <t>4146</t>
  </si>
  <si>
    <t>ESQUINA COM TV. APINAGES ENTRE TV. APINAGES E PASSAGEM PARINTINS</t>
  </si>
  <si>
    <t>66065219</t>
  </si>
  <si>
    <t>silvionascimento@semec.belem.pa.gov.br</t>
  </si>
  <si>
    <t>38/2018 - CME, DE 14/03/2018</t>
  </si>
  <si>
    <t>GLAICE DA SILVA NASCIMENTO</t>
  </si>
  <si>
    <t>JOSE ARLINDO ESTUMANO DA SILVA</t>
  </si>
  <si>
    <t>1895320-019</t>
  </si>
  <si>
    <t>CREMACAO</t>
  </si>
  <si>
    <t>15167640</t>
  </si>
  <si>
    <t>ESCOLA MUNICIPAL ENCANTO DO SABER</t>
  </si>
  <si>
    <t>RUA DOS MUNDURUCUS</t>
  </si>
  <si>
    <t>3476</t>
  </si>
  <si>
    <t>ENT 9 DE JANEIRO E 3 DE MAIO</t>
  </si>
  <si>
    <t>66040036</t>
  </si>
  <si>
    <t>uei.encantodosaber@semec.belem.pa.gov.br</t>
  </si>
  <si>
    <t>PORTARIA Nº. 2.064/2015 - GABS, DE 21/ DE JULHO DE 2015</t>
  </si>
  <si>
    <t>26/2023 - CME, DE 22/11/2023</t>
  </si>
  <si>
    <t>CARLENE SIBELI SODRE DAMASCENO NAHUM</t>
  </si>
  <si>
    <t>0349216- 010</t>
  </si>
  <si>
    <t>15181790</t>
  </si>
  <si>
    <t>ESCOLA MUNICIPAL FRANCISCO DE ASSIS</t>
  </si>
  <si>
    <t>PASSAGEM SAO SILVESTRE</t>
  </si>
  <si>
    <t>2005</t>
  </si>
  <si>
    <t>66065710</t>
  </si>
  <si>
    <t>franciscodeassis@semec.belem.gov.br</t>
  </si>
  <si>
    <t>DECRETO N.º 113.723/2025 – PMB, DE 23 DE JUNHO DE 2025</t>
  </si>
  <si>
    <t>VALDILENE SOUZA FRANCO</t>
  </si>
  <si>
    <t>2009463- 018</t>
  </si>
  <si>
    <t>15543382</t>
  </si>
  <si>
    <t>ESCOLA MUNICIPAL VENUZINA MARINHO DE SOUZA</t>
  </si>
  <si>
    <t>3015</t>
  </si>
  <si>
    <t>AO LADO DO POSTO POLICIAL FERNANDO GUILHOM E SAO MIGUEL</t>
  </si>
  <si>
    <t>66065205</t>
  </si>
  <si>
    <t>profvenuzinamarinhodesouza@semec.belem.pa.gov.br</t>
  </si>
  <si>
    <t>DECRETO Nº 95.218/2019 - PMB, DE 27 DE DEZEMBRO DE 2019</t>
  </si>
  <si>
    <t>012/2023 - CME, DE 21/06/2023</t>
  </si>
  <si>
    <t>LUNA ALMEIDA RIBEIRO</t>
  </si>
  <si>
    <t>0346624- 010</t>
  </si>
  <si>
    <t>15098338</t>
  </si>
  <si>
    <t>ASSOCIACAO DE PAIS E EDUCADORES MOARANA</t>
  </si>
  <si>
    <t>TRAVESSA VINTE E CINCO DE JUNHO</t>
  </si>
  <si>
    <t>329</t>
  </si>
  <si>
    <t>66075513</t>
  </si>
  <si>
    <t>32296480</t>
  </si>
  <si>
    <t>07/2024 - CME, DE 21/02/2024</t>
  </si>
  <si>
    <t>15572137</t>
  </si>
  <si>
    <t>ASSOCIACAO DOS MORADORES DO BAIRRO DO GUAMA</t>
  </si>
  <si>
    <t>PASSAGEM SAO CRISTOVAO</t>
  </si>
  <si>
    <t>69</t>
  </si>
  <si>
    <t>66065670</t>
  </si>
  <si>
    <t>32696532</t>
  </si>
  <si>
    <t>015/2024 - CME, DE 15/05/2024</t>
  </si>
  <si>
    <t>15098125</t>
  </si>
  <si>
    <t>CENTRO CATEQUETICO DE PROMOCAO HUMANA SANTA IZABEL DA HUNGRIA</t>
  </si>
  <si>
    <t>PASSAGEM GUERRA PASSOS</t>
  </si>
  <si>
    <t>442</t>
  </si>
  <si>
    <t>66073240</t>
  </si>
  <si>
    <t>32530133</t>
  </si>
  <si>
    <t>09/2024 - CME, DE 21/02/2023</t>
  </si>
  <si>
    <t>15040682</t>
  </si>
  <si>
    <t>ESCOLA MUNICIPAL AMALIA PAUMGARTTEN</t>
  </si>
  <si>
    <t>PASSAGEM SANTA ROSA</t>
  </si>
  <si>
    <t>ENTRE PASS POPULAR E BERNARDO SAYAO ENTRE JOS BONIFCIO EBERNARDO SAYAO</t>
  </si>
  <si>
    <t>66075530</t>
  </si>
  <si>
    <t>amaliapaungartten@semec.belem.pa.gov.br</t>
  </si>
  <si>
    <t>011/2023 - CME, DE 21/06/2023</t>
  </si>
  <si>
    <t>AUREA MARIA</t>
  </si>
  <si>
    <t>ODILA FORMIGOSA SIQUEIRA</t>
  </si>
  <si>
    <t>0049603-019</t>
  </si>
  <si>
    <t>15167542</t>
  </si>
  <si>
    <t>ESCOLA MUNICIPAL DIREITO DE SER CRIANCA</t>
  </si>
  <si>
    <t>TRAVESSA TEOFILO CONDURU</t>
  </si>
  <si>
    <t>900</t>
  </si>
  <si>
    <t>AO LADO DO INSTITUTO MARIA E MARIAS ENTRE RUA DOS MUNDURUCUS E AV. CONSELHEIRO FURTADO</t>
  </si>
  <si>
    <t>66073570</t>
  </si>
  <si>
    <t>direitodesercrianca@semec.belem.pa.gov.br</t>
  </si>
  <si>
    <t>DECRETO Nº 85.304/2016 - PMB, DE 22 DE MARÇO DE 2016</t>
  </si>
  <si>
    <t>SUZELI ROBERTA OLIVEIRA FERREIRA</t>
  </si>
  <si>
    <t>0370711- 017</t>
  </si>
  <si>
    <t>RODRIGO DOS SANTOS ROSARIO</t>
  </si>
  <si>
    <t>0391000-012</t>
  </si>
  <si>
    <t>15558282</t>
  </si>
  <si>
    <t>ESCOLA MUNICIPAL EDSON LUIS</t>
  </si>
  <si>
    <t>RUA BARAO DE IGARAPE MIRI</t>
  </si>
  <si>
    <t>1415</t>
  </si>
  <si>
    <t>ENTRE AUGUSTO CORREA E RUA DA OLARIA UFPA</t>
  </si>
  <si>
    <t>66075048</t>
  </si>
  <si>
    <t>edsonluis@semec.belem.pa.gov.br</t>
  </si>
  <si>
    <t>014/2024 - CME, DE 15/05/2024</t>
  </si>
  <si>
    <t>ALESSANDRA HELENA XAVIER TAVARES MIRANDA</t>
  </si>
  <si>
    <t>1923994- 015</t>
  </si>
  <si>
    <t>ELIZANGELA ALMEIDA DA SILVA</t>
  </si>
  <si>
    <t>1991906-010</t>
  </si>
  <si>
    <t>15558320</t>
  </si>
  <si>
    <t>ESCOLA MUNICIPAL GUAMA</t>
  </si>
  <si>
    <t>142</t>
  </si>
  <si>
    <t>ENTRE EPITACIO PESSOA E POPULAR</t>
  </si>
  <si>
    <t>uei.guama@semec.pmb.pa.gov.br</t>
  </si>
  <si>
    <t>66/2019 - CME, DE 20/12/2019</t>
  </si>
  <si>
    <t>ANA CRISTINA CORREA PALMEIRA</t>
  </si>
  <si>
    <t>15040950</t>
  </si>
  <si>
    <t>ESCOLA MUNICIPAL PADRE LEANDRO PINHEIRO</t>
  </si>
  <si>
    <t>619</t>
  </si>
  <si>
    <t>TRAV EZERIEL MONICO E TRAV LIBERATO DE CASTRO</t>
  </si>
  <si>
    <t>padreleandropinheiro@semec.belem.pa.gov.br</t>
  </si>
  <si>
    <t>67/2018 - CME, DE 05/12/2018</t>
  </si>
  <si>
    <t>VIVIANA MARLA DE ANDRADE FRAZAO</t>
  </si>
  <si>
    <t>1928538- 026</t>
  </si>
  <si>
    <t>BRASIL HONORATO GOMES SARMENTO NETO</t>
  </si>
  <si>
    <t>1842870-014</t>
  </si>
  <si>
    <t>15175588</t>
  </si>
  <si>
    <t>ESCOLA MUNICIPAL PROFESSOR LUIZ CARLOS ACACIO BARBOSA</t>
  </si>
  <si>
    <t>AVENIDA JOSE BONIFACIO</t>
  </si>
  <si>
    <t>2981</t>
  </si>
  <si>
    <t>AO LADO DO MESTRE 70 PROX. A BERNARDO SAYAO</t>
  </si>
  <si>
    <t>66065112</t>
  </si>
  <si>
    <t>profluizcarlosacaciobarbosa@semec.belem.pa.gov.br</t>
  </si>
  <si>
    <t>DECRETO Nº 96.044/2020 - PMB, DE 31 DE MARÇO DE 2020</t>
  </si>
  <si>
    <t>NOEMIA DAS GRAÇAS RODRIGUES DOS SANTOS</t>
  </si>
  <si>
    <t>1839721- 011</t>
  </si>
  <si>
    <t>15181936</t>
  </si>
  <si>
    <t>ESCOLA MUNICIPAL PROFESSORA JOANA DARC GUIMARAES DE OLIVEIRA</t>
  </si>
  <si>
    <t>ALAMEDA INTENDENTE DOUTOR DIONISIO AUZIER BENTES</t>
  </si>
  <si>
    <t>73</t>
  </si>
  <si>
    <t>66073270</t>
  </si>
  <si>
    <t>anexo.santaisabel@semec.belem.pa.gov.br</t>
  </si>
  <si>
    <t>DECRETO N° 111.988/2024 - PMB, DE 13 DE AGOSTO DE 2024, RETIFICADO PELO DECRETO N° 112.888/2024 - PMB, DE 22 DE NOVEMBRO DE 2024</t>
  </si>
  <si>
    <t>IVANEIDE DE OLIVEIRA AGUIAR</t>
  </si>
  <si>
    <t>0567396- 010</t>
  </si>
  <si>
    <t>15152340</t>
  </si>
  <si>
    <t>ESCOLA MUNICIPAL SANTA ROSA</t>
  </si>
  <si>
    <t>52</t>
  </si>
  <si>
    <t>PS POPULAR E SANTA FE</t>
  </si>
  <si>
    <t>maia.helem@yahoo.com</t>
  </si>
  <si>
    <t>PORTARIA Nº 542 / 2007 – PMB, DE 28 DE MAIO DE 2007</t>
  </si>
  <si>
    <t>45/2019 - CME, DE 04/09/2019</t>
  </si>
  <si>
    <t>HELEM DO SOCORRO RODRIGUES MAIA</t>
  </si>
  <si>
    <t>0352055- 014</t>
  </si>
  <si>
    <t>15182290</t>
  </si>
  <si>
    <t>INSTITUTO MARIA E MARIAS</t>
  </si>
  <si>
    <t>4975</t>
  </si>
  <si>
    <t>66063495</t>
  </si>
  <si>
    <t>ANEXO C C OSVALDO DE CALDAS BRITO DA EM NESTOR NONATO LIMA</t>
  </si>
  <si>
    <t>RUA DOS TAMOIOS</t>
  </si>
  <si>
    <t>373</t>
  </si>
  <si>
    <t>ENTRE BERNARDO SAYAO E TRAVESSA DE BREVES</t>
  </si>
  <si>
    <t>66025540</t>
  </si>
  <si>
    <t>osvaldodecaldas@semec.belem.pa.gov</t>
  </si>
  <si>
    <t>GISELE COELHO DE OLIVEIRA</t>
  </si>
  <si>
    <t>0566837- 013</t>
  </si>
  <si>
    <t>ANEXO GRUPO C UNIAO DA EM NESTOR NONATO LIMA</t>
  </si>
  <si>
    <t>1014</t>
  </si>
  <si>
    <t>ENTRE FERNANDO GULHON E SO MIGUEL</t>
  </si>
  <si>
    <t>66025450</t>
  </si>
  <si>
    <t>nestornonato@yahoo.com.br</t>
  </si>
  <si>
    <t>JOSE JOAQUIM BARBOSA BASTOS</t>
  </si>
  <si>
    <t>1838814- 016</t>
  </si>
  <si>
    <t>15040712</t>
  </si>
  <si>
    <t>ESCOLA MUNICIPAL HONORATO FILGUEIRAS</t>
  </si>
  <si>
    <t>TRAVESSA DE BREVES</t>
  </si>
  <si>
    <t>715</t>
  </si>
  <si>
    <t>RUA CEZARIO ALVIM E RUA OSVALDO DE CALDAS BRITO</t>
  </si>
  <si>
    <t>66025220</t>
  </si>
  <si>
    <t>honoratofilgueiras@semec.belem.pa.gov.br</t>
  </si>
  <si>
    <t>33/2019 - CME, DE 29/05/2019</t>
  </si>
  <si>
    <t>MARIZETE NAZARE PEREIRA RODRIGUES PANTOJA</t>
  </si>
  <si>
    <t>0181404- 010</t>
  </si>
  <si>
    <t>RAIMUNDA MONTEIRO MOIA BARATA</t>
  </si>
  <si>
    <t>1882422-012</t>
  </si>
  <si>
    <t>15181820</t>
  </si>
  <si>
    <t>ESCOLA MUNICIPAL HONORATO FILGUEIRAS I</t>
  </si>
  <si>
    <t>561</t>
  </si>
  <si>
    <t>ENTRE TRAVESSA DE BREVES E MONTE ALEGRE</t>
  </si>
  <si>
    <t>66025125</t>
  </si>
  <si>
    <t>fund.honoratofilgueiras@semec.belem.pa.gov.br</t>
  </si>
  <si>
    <t>DECRETO N.º 113.733/2025 – PMB, DE 23 DE JUNHO DE 2025</t>
  </si>
  <si>
    <t>LUCIENNE ELLEM MARTINS COUTINHO</t>
  </si>
  <si>
    <t>0410870- 013</t>
  </si>
  <si>
    <t>ROSELI ASSIS DA CONCEIÇÃO</t>
  </si>
  <si>
    <t>0390550-019</t>
  </si>
  <si>
    <t>15543390</t>
  </si>
  <si>
    <t>ESCOLA MUNICIPAL MONTE ALEGRE</t>
  </si>
  <si>
    <t>TRAVESSA MONTE ALEGRE</t>
  </si>
  <si>
    <t>FERNANDO GUILHON FERNANDO GUILHON E PR?A MONTE ALEGRE</t>
  </si>
  <si>
    <t>66030370</t>
  </si>
  <si>
    <t>uei.montealegre@semec.belem.pa.gov.br</t>
  </si>
  <si>
    <t>PORTARIA Nº 539 / 2007 – PMB, DE 28 DE MAIO DE 2007</t>
  </si>
  <si>
    <t>14/2025 - CME, DE 17/06/2025</t>
  </si>
  <si>
    <t>ALEX MAURO LIMA DA CONCEIÇÃO</t>
  </si>
  <si>
    <t>0347191- 010</t>
  </si>
  <si>
    <t>15170934</t>
  </si>
  <si>
    <t>ESCOLA MUNICIPAL PROFESSORA ROSENIL CORDEIRO DA SILVA</t>
  </si>
  <si>
    <t>RUA SAO SILVESTRE</t>
  </si>
  <si>
    <t>AO LADO DA IGREJA QUADRANGULAR ENTRE TVHONORATO JOSE DOS SANTOS E TV BOM JARDIM</t>
  </si>
  <si>
    <t>66030575</t>
  </si>
  <si>
    <t>profrosenilcordeirosilva@semec.belem.pa.gov.br</t>
  </si>
  <si>
    <t>DECRETO Nº 90.970/2018 - PMB, DE 4 DE ABRIL DE 2018</t>
  </si>
  <si>
    <t>40/2019 - CME, DE 04/09/2019</t>
  </si>
  <si>
    <t>VERA LUCIA LIMA LOPES</t>
  </si>
  <si>
    <t xml:space="preserve"> 0200280- 015</t>
  </si>
  <si>
    <t>15040780</t>
  </si>
  <si>
    <t>ESCOLA MUNICIPAL ROTARY</t>
  </si>
  <si>
    <t>RUA LAURO MALCHER</t>
  </si>
  <si>
    <t>279</t>
  </si>
  <si>
    <t>ENTRE TV APINAGES E TV TUPINAMBAS ENTRE APINAGES E TUPINAMBAS</t>
  </si>
  <si>
    <t>66033410</t>
  </si>
  <si>
    <t>rotary@semec.belem.pa.gov.br</t>
  </si>
  <si>
    <t>56/2019 - CME, DE 20/12/2019</t>
  </si>
  <si>
    <t>KEITE ALICE RAMOS</t>
  </si>
  <si>
    <t>0346403- 014</t>
  </si>
  <si>
    <t>SUELLEM NEVES DA COSTA</t>
  </si>
  <si>
    <t>0426997-018</t>
  </si>
  <si>
    <t>15182606</t>
  </si>
  <si>
    <t>INSTITUTO PEDRO VIEIRA</t>
  </si>
  <si>
    <t>AVENIDA PADRE EUTIQUIO</t>
  </si>
  <si>
    <t>3186</t>
  </si>
  <si>
    <t>66025011</t>
  </si>
  <si>
    <t>15173739</t>
  </si>
  <si>
    <t>ASSOCIACAO SANTA RITA DE CASSIA</t>
  </si>
  <si>
    <t>PASSAGEM JABATITEUA</t>
  </si>
  <si>
    <t>163</t>
  </si>
  <si>
    <t>66070250</t>
  </si>
  <si>
    <t>32267773</t>
  </si>
  <si>
    <t>028/2024 - CME, DE 19/06/2024</t>
  </si>
  <si>
    <t>15040798</t>
  </si>
  <si>
    <t>ESCOLA MUNICIPAL MANUELA FREITAS</t>
  </si>
  <si>
    <t>AVENIDA GENTIL BITTENCOURT</t>
  </si>
  <si>
    <t>2822</t>
  </si>
  <si>
    <t>ENTRE JOSE BONIFACIO E BARAO DE MAMORE TERMINAL RODOVIARIO</t>
  </si>
  <si>
    <t>66073220</t>
  </si>
  <si>
    <t>manuelafreitas@semec.belem.pa.gov.br</t>
  </si>
  <si>
    <t>65/2019 - CME, DE 20/12/2019</t>
  </si>
  <si>
    <t>MARIA DE JESUS CORREA DIAS</t>
  </si>
  <si>
    <t>0378844- 024</t>
  </si>
  <si>
    <t>JECIVAN SILVA DOS SANTOS</t>
  </si>
  <si>
    <t>15543374</t>
  </si>
  <si>
    <t>ESCOLA MUNICIPAL SANTO AGOSTINHO</t>
  </si>
  <si>
    <t>RUA SILVA ROSADO</t>
  </si>
  <si>
    <t>344</t>
  </si>
  <si>
    <t>ENTRE NINA RIBEIRO E GUERRA PASSOS</t>
  </si>
  <si>
    <t>66070510</t>
  </si>
  <si>
    <t>uei.santoagostinho@semec.belem.pa.gov.br</t>
  </si>
  <si>
    <t>029/2024 - CME, DE 19/06/2024</t>
  </si>
  <si>
    <t>ANA CLAUDIA DA SILVA MAGALHÃES</t>
  </si>
  <si>
    <t>0161870- 015</t>
  </si>
  <si>
    <t>DANIELE RODRIGUES DA SILVA</t>
  </si>
  <si>
    <t>0393924-017</t>
  </si>
  <si>
    <t>15564215</t>
  </si>
  <si>
    <t>ASSOCIACAO DOS AMIGOS DA TERRA FIRME</t>
  </si>
  <si>
    <t>PASSAGEM DOM MANOEL</t>
  </si>
  <si>
    <t>22</t>
  </si>
  <si>
    <t>66077200</t>
  </si>
  <si>
    <t>32748864</t>
  </si>
  <si>
    <t>33/2023 - CME, DE 22/11/2023</t>
  </si>
  <si>
    <t>15181740</t>
  </si>
  <si>
    <t>ESCOLA MUNICIPAL BETINHO</t>
  </si>
  <si>
    <t>PASSAGEM NOSSA SENHORA DAS GRACAS</t>
  </si>
  <si>
    <t>ENTRE SEGUNDA DE QUELUZ E BOM JESUS</t>
  </si>
  <si>
    <t>66077420</t>
  </si>
  <si>
    <t>escolaanexobetinho@gmail.com</t>
  </si>
  <si>
    <t>DECRETO N.º 113.719/2025 – PMB, DE 23 DE JUNHO DE 2025</t>
  </si>
  <si>
    <t>LILIANE DO NASCIMENTO REIS</t>
  </si>
  <si>
    <t>0347175- 015</t>
  </si>
  <si>
    <t>15040674</t>
  </si>
  <si>
    <t>ESCOLA MUNICIPAL MARIA STELLINA VALMONT</t>
  </si>
  <si>
    <t>PASSAGEM VITORIA</t>
  </si>
  <si>
    <t>423</t>
  </si>
  <si>
    <t>PROX A PASSAGEM SAO PEDRO</t>
  </si>
  <si>
    <t>66077160</t>
  </si>
  <si>
    <t>mariastellinavalmont@semec.belem.pa.gov.br</t>
  </si>
  <si>
    <t>30/2015 - CME, DE 23/12/2015</t>
  </si>
  <si>
    <t>TAMIRES DE SOUZA MONTEIRO</t>
  </si>
  <si>
    <t>0567736- 016</t>
  </si>
  <si>
    <t>ALEXANDRE AUGUSTO SANTA BRIGIDA DA CONCEIÇÃO</t>
  </si>
  <si>
    <t>1983067-013</t>
  </si>
  <si>
    <t>15155170</t>
  </si>
  <si>
    <t>ESCOLA MUNICIPAL PARQUE AMAZONIA</t>
  </si>
  <si>
    <t>AVENIDA CELSO MALCHER</t>
  </si>
  <si>
    <t>445</t>
  </si>
  <si>
    <t>PREDIO ALUGADO</t>
  </si>
  <si>
    <t>66077000</t>
  </si>
  <si>
    <t>parqueamazonia@semec.belem.pa.gov.br</t>
  </si>
  <si>
    <t>12/2026 - CME, DE 09/06/2026</t>
  </si>
  <si>
    <t>MARIA DO SOCORRO ARAUJO TRINDADE</t>
  </si>
  <si>
    <t>0051632- 012</t>
  </si>
  <si>
    <t>LUIZ CLAUDIO FROTA DE OLIVEIRA</t>
  </si>
  <si>
    <t>1836714-014</t>
  </si>
  <si>
    <t>15181634</t>
  </si>
  <si>
    <t>ESCOLA MUNICIPAL SAO FRANCISCO DE ASSIS</t>
  </si>
  <si>
    <t>RUA SAO DOMINGOS</t>
  </si>
  <si>
    <t>521</t>
  </si>
  <si>
    <t>AO LADO DA E. E. BRIGADEIRO FONTENELLE</t>
  </si>
  <si>
    <t>66077650</t>
  </si>
  <si>
    <t>emsaofranciscodeassis_belem@gmail.com</t>
  </si>
  <si>
    <t>DECRETO N.º 113.718/2025 – PMB, DE 23 DE JUNHO DE 2025</t>
  </si>
  <si>
    <t>DIONISIO OLIVEIRA FERREIRA JUNIOR</t>
  </si>
  <si>
    <t>0347361- 013</t>
  </si>
  <si>
    <t>15040984</t>
  </si>
  <si>
    <t>ESCOLA MUNICIPAL SOLERNO MOREIRA</t>
  </si>
  <si>
    <t>PASSAGEM UNIVERSAL</t>
  </si>
  <si>
    <t>127</t>
  </si>
  <si>
    <t>AVENIDA PERIMETRAL</t>
  </si>
  <si>
    <t>66079510</t>
  </si>
  <si>
    <t>emefsolernomoreira@semec.belem.pa.gov.br</t>
  </si>
  <si>
    <t>LEI Nº 7.481/1990 - PMB, DE 25 DE ABRIL DE 1990</t>
  </si>
  <si>
    <t>25/2025 - CME, DE 21/10/2025</t>
  </si>
  <si>
    <t>JOSIANE CAETANO DE MENDONÇA</t>
  </si>
  <si>
    <t>0347248- 012</t>
  </si>
  <si>
    <t>KATIA TERESA GONÇALVES SANTANA</t>
  </si>
  <si>
    <t>1836544-011</t>
  </si>
  <si>
    <t>15543218</t>
  </si>
  <si>
    <t>ESCOLA MUNICIPAL TERRA FIRME</t>
  </si>
  <si>
    <t>688</t>
  </si>
  <si>
    <t>AV PERIMETRAL E AV CELSO MALCHER</t>
  </si>
  <si>
    <t>uei.terrafirme@semec.belem.pa.gov.br</t>
  </si>
  <si>
    <t>PORTARIA Nº 541 / 2007 – PMB, DE 28 DE MAIO DE 2007</t>
  </si>
  <si>
    <t>06/2015 - CME, DE 22/04/2015</t>
  </si>
  <si>
    <t>JOSIANE MARIA DOS SANTOS CONCEIÇÃO</t>
  </si>
  <si>
    <t>1961454- 014</t>
  </si>
  <si>
    <t>INSTITUTO JUNTOS E ALIANCADOS</t>
  </si>
  <si>
    <t>294</t>
  </si>
  <si>
    <t>66070740</t>
  </si>
  <si>
    <t>DAICO</t>
  </si>
  <si>
    <t>AGUAS NEGRAS - ICOARACI</t>
  </si>
  <si>
    <t>15166830</t>
  </si>
  <si>
    <t>ESCOLA MUNICIPAL SABINO BARRETO</t>
  </si>
  <si>
    <t>AVENIDA HELIO AMANAJAS</t>
  </si>
  <si>
    <t>PARQUE SANTA PAULA RUA GOMES FARIAS E MARACUERA</t>
  </si>
  <si>
    <t>66822460</t>
  </si>
  <si>
    <t>sabinobarreto@semec.belem.pa.gov.br</t>
  </si>
  <si>
    <t>DECRETO Nº. 81.566/2014 – PMB, 16 DE DEZEMBRO DE 2014</t>
  </si>
  <si>
    <t>09/2023 - CME, DE 21/06/2023</t>
  </si>
  <si>
    <t>JOSIANE FABRICIA DIAS MONTEIRO CAVALCANTE</t>
  </si>
  <si>
    <t>0305855- 026</t>
  </si>
  <si>
    <t>ANDRELINO JUNIOR MESQUITA TAVARES</t>
  </si>
  <si>
    <t>0457035-013</t>
  </si>
  <si>
    <t>AGULHA - ICOARACI</t>
  </si>
  <si>
    <t>15043061</t>
  </si>
  <si>
    <t>ESCOLA MUNICIPAL LICEU MESTRE RAIMUNDO CARDOSO</t>
  </si>
  <si>
    <t>TRAVESSA DOS ANDRADAS</t>
  </si>
  <si>
    <t>1110</t>
  </si>
  <si>
    <t>0 RUA CORONEL JUVENCIO SARMENTO E RUA SANTA IZABEL</t>
  </si>
  <si>
    <t>66811010</t>
  </si>
  <si>
    <t>liceumestreraimundocardoso@semec.belem.pa.gov.br</t>
  </si>
  <si>
    <t>DECRETO Nº. 29.205/1996 – PMB, 13 DE SETEMBRO DE 1996</t>
  </si>
  <si>
    <t>03/2023 - CME, DE 12/04/2023</t>
  </si>
  <si>
    <t>FABRICIO RODRIGO SILVA DE ARAUJO</t>
  </si>
  <si>
    <t>0374300- 011</t>
  </si>
  <si>
    <t>JOAO PAULO DOS SANTOS MONTEIRO</t>
  </si>
  <si>
    <t>0322989-027</t>
  </si>
  <si>
    <t>15042995</t>
  </si>
  <si>
    <t>ESCOLA MUNICIPAL MARIA MADALENA CORREA RAAD</t>
  </si>
  <si>
    <t>PASSAGEM SAO JOSE DE RIBAMAR</t>
  </si>
  <si>
    <t>VIA PRINCIPAL TV. BERREDOS PARACURI</t>
  </si>
  <si>
    <t>66811510</t>
  </si>
  <si>
    <t>mariamadalenacorrearad@semec.belem.pa.gov.br</t>
  </si>
  <si>
    <t>041/2024 - CME, DE 23/10/2024</t>
  </si>
  <si>
    <t>PATRICIA KARENINA TEIXEIRA ANGELIM MENDES</t>
  </si>
  <si>
    <t>0474673- 022</t>
  </si>
  <si>
    <t>HAMILTON DIAS DA SILVA</t>
  </si>
  <si>
    <t>0394580-010</t>
  </si>
  <si>
    <t>15519430</t>
  </si>
  <si>
    <t>ESCOLA MUNICIPAL OGILVANISE MOREIRA DE MOURA</t>
  </si>
  <si>
    <t>TRAVESSA SOUZA FRANCO</t>
  </si>
  <si>
    <t>PASS DOUGLAS COEN ENTRE 2 DE DEZEMBRO E 8 DE MAIO</t>
  </si>
  <si>
    <t>66811880</t>
  </si>
  <si>
    <t>profogilvanisemoreirademoura@semec.belem.pa.gov.br</t>
  </si>
  <si>
    <t>033/2024 - CME, DE 23/10/2024</t>
  </si>
  <si>
    <t>JOBETANIA SOCORRO VILHENA DO NASCIMENTO</t>
  </si>
  <si>
    <t>0378925- 016</t>
  </si>
  <si>
    <t>EDILENE LESSA FREITAS E SILVA</t>
  </si>
  <si>
    <t>0391107-011</t>
  </si>
  <si>
    <t>15223205</t>
  </si>
  <si>
    <t>ESCOLA MUNICIPAL PROFESSORA LAIS FONTOURA ADERNE</t>
  </si>
  <si>
    <t>TRAVESSA L 3</t>
  </si>
  <si>
    <t>ENTRE TRAVESSA 7 E TRAVESSA 8 FUNDO DA ESCOLA PARACURI II</t>
  </si>
  <si>
    <t>66811775</t>
  </si>
  <si>
    <t>laisadernefontoura@semec.belem.pa.gov.br</t>
  </si>
  <si>
    <t>PORTARIA Nº 1.314/2008 - GABS, DE 08 DE OUTUBRO DE 2008</t>
  </si>
  <si>
    <t>12/2019 - CME, DE 04/01/2019</t>
  </si>
  <si>
    <t>GERSENI OLIVEIRA DA ROCHA</t>
  </si>
  <si>
    <t>15174735</t>
  </si>
  <si>
    <t>SOCIEDADE COMUNITARIA SAO JOAO BATISTA</t>
  </si>
  <si>
    <t>PASSAGEM FREDERICO HOSANA</t>
  </si>
  <si>
    <t>62</t>
  </si>
  <si>
    <t>66811210</t>
  </si>
  <si>
    <t>30/2023 - CME, DE 22/11/2023</t>
  </si>
  <si>
    <t>CAMPINA DE ICOARACI - ICOARACI</t>
  </si>
  <si>
    <t>15559343</t>
  </si>
  <si>
    <t>C C SAO PAULO</t>
  </si>
  <si>
    <t>ALAMEDA JOSE DE MIRANDA CASTELO BRANCO</t>
  </si>
  <si>
    <t>64</t>
  </si>
  <si>
    <t>66813370</t>
  </si>
  <si>
    <t>32979632</t>
  </si>
  <si>
    <t>038/2024 - CME, DE 23/10/2024</t>
  </si>
  <si>
    <t>15547302</t>
  </si>
  <si>
    <t>ESCOLA MUNICIPAL COHAB III</t>
  </si>
  <si>
    <t>TRAVESSA L 5</t>
  </si>
  <si>
    <t>FINAL DA LINHA DO ICOARACI VER O PESO</t>
  </si>
  <si>
    <t>66813690</t>
  </si>
  <si>
    <t>cohab3@semec.belem.gov.br</t>
  </si>
  <si>
    <t>PORTARIA Nº 561 / 2007 – PMB, DE 28 DE MAIO DE 2007</t>
  </si>
  <si>
    <t>12/2020 - CME, DE 16/09/2020</t>
  </si>
  <si>
    <t>ANA CLAUDIA LOBATO NUNES SOUTO</t>
  </si>
  <si>
    <t>0348112- 017</t>
  </si>
  <si>
    <t>15166368</t>
  </si>
  <si>
    <t>ESCOLA MUNICIPAL GENESIS</t>
  </si>
  <si>
    <t>AVENIDA PRINCIPAL</t>
  </si>
  <si>
    <t>60</t>
  </si>
  <si>
    <t>CONJUNTO JARDIM MAGUARI ALAMEDA 30 AO LD DA IGREJA PRESBI</t>
  </si>
  <si>
    <t>66823095</t>
  </si>
  <si>
    <t>maria.farias@semec.belem.pa.gov.br</t>
  </si>
  <si>
    <t>DECRETO Nº 82.887/2015 - PMB, DE 2 DE JUNHO DE 2015</t>
  </si>
  <si>
    <t>046/2024 - CME, DE 11/12/2024</t>
  </si>
  <si>
    <t>MARIA CELIA DA COSTA VALE DE FARIAS</t>
  </si>
  <si>
    <t>1861158- 014</t>
  </si>
  <si>
    <t>CRUZEIRO - ICOARACI</t>
  </si>
  <si>
    <t>ANEXO ESCOLA MESTRA IDALINA RODRIGUES PEREIRA DA EM OGILVANISE MOREIRA DE MOURA</t>
  </si>
  <si>
    <t>RUA MANOEL BARATA</t>
  </si>
  <si>
    <t>728</t>
  </si>
  <si>
    <t>ESQUINA COM SA0 ROQUE</t>
  </si>
  <si>
    <t>66810100</t>
  </si>
  <si>
    <t>LUCIANA DA CUNHA MONTEIRO</t>
  </si>
  <si>
    <t>0350869- 014</t>
  </si>
  <si>
    <t>15043002</t>
  </si>
  <si>
    <t>ESCOLA MUNICIPAL ALFREDO CHAVES</t>
  </si>
  <si>
    <t>RUA DOIS DE DEZEMBRO</t>
  </si>
  <si>
    <t>DEPOIS DO CEMITERIO PROX. CRISTOVAO COLOMBO</t>
  </si>
  <si>
    <t>66810040</t>
  </si>
  <si>
    <t>profalfredochaves@semec.belem.pa.gov.br</t>
  </si>
  <si>
    <t>10/2019 - CME, DE 04/01/2019</t>
  </si>
  <si>
    <t>MARIA DO SOCORRO GOMES DA SILVA</t>
  </si>
  <si>
    <t>1861441- 018</t>
  </si>
  <si>
    <t>OTÁVIO PEREIRA DE SOUZA JUNIOR</t>
  </si>
  <si>
    <t>1954466-010</t>
  </si>
  <si>
    <t>15043037</t>
  </si>
  <si>
    <t>ESCOLA MUNICIPAL AVERTANO ROCHA</t>
  </si>
  <si>
    <t>TRAVESSA SAO ROQUE</t>
  </si>
  <si>
    <t>95</t>
  </si>
  <si>
    <t>ENTRE SIQUEIRA MENDES E MANOEL BARATA</t>
  </si>
  <si>
    <t>66810020</t>
  </si>
  <si>
    <t>avertanorocha@semec.belem.pa.gov.br</t>
  </si>
  <si>
    <t>60/2018 - CME, DE 19/09/2018</t>
  </si>
  <si>
    <t>VIVIANE ELIETE DA SILVA MOREIRA DA COSTA</t>
  </si>
  <si>
    <t>0373346- 018</t>
  </si>
  <si>
    <t>MARCO JOSE SOARES DE ALMEIDA</t>
  </si>
  <si>
    <t>0954490-019</t>
  </si>
  <si>
    <t>15543323</t>
  </si>
  <si>
    <t>ESCOLA MUNICIPAL CASA DA AMIZADE</t>
  </si>
  <si>
    <t>RUA PADRE JULIO MARIA</t>
  </si>
  <si>
    <t>178</t>
  </si>
  <si>
    <t>ENTRE TRAV. DO CRUZEIRO E TRAV. PIMENTA BUENO</t>
  </si>
  <si>
    <t>66810060</t>
  </si>
  <si>
    <t>ueicasaamizade@gmail.com</t>
  </si>
  <si>
    <t>PORTARIA Nº 560 / 2007 – PMB, DE 28 DE MAIO DE 2007</t>
  </si>
  <si>
    <t>42/2019 - CME, DE 04/09/2019</t>
  </si>
  <si>
    <t>MARIA DO SOCORRO CEZAR DA SILVA</t>
  </si>
  <si>
    <t>0155870- 017</t>
  </si>
  <si>
    <t>MARACACUERA - ICOARACI</t>
  </si>
  <si>
    <t>15174620</t>
  </si>
  <si>
    <t>CENTRO EDUCACIONAL MUNDO DA IMAGINACAO</t>
  </si>
  <si>
    <t>ESTRADA DA MARACACUERA</t>
  </si>
  <si>
    <t>25</t>
  </si>
  <si>
    <t>66815140</t>
  </si>
  <si>
    <t>89174581</t>
  </si>
  <si>
    <t>05/2024 - CME, DE 21/02/2024</t>
  </si>
  <si>
    <t>15582051</t>
  </si>
  <si>
    <t>CENTRO SOCIAL E CULTURAL DR OSVALDO MELO</t>
  </si>
  <si>
    <t>PASSAGEM TANCREDO NEVES</t>
  </si>
  <si>
    <t>138</t>
  </si>
  <si>
    <t>66815150</t>
  </si>
  <si>
    <t>32797921</t>
  </si>
  <si>
    <t>02/2024 - CME, DE 21/02/2024</t>
  </si>
  <si>
    <t>15173828</t>
  </si>
  <si>
    <t>ESCOLA MUNICIPAL PROFA VANDA CELIA FERREIRA DE SOUZA</t>
  </si>
  <si>
    <t>RESIDENCIAL QUINTA DOS PARICAS RUA 10</t>
  </si>
  <si>
    <t>vandaceliafdesouza@semec.belem.pa.gov.br</t>
  </si>
  <si>
    <t>DECRETO Nº 94.241/2019 - PMB, DE 16 DE JULHO DE 2019</t>
  </si>
  <si>
    <t>27/2025 - CME, DE 21/10/2025</t>
  </si>
  <si>
    <t>KEILA ROBERTA CAVALHEIRO GUIMARAES</t>
  </si>
  <si>
    <t>0269590- 048</t>
  </si>
  <si>
    <t xml:space="preserve">REGINA AMARAL MENDES </t>
  </si>
  <si>
    <t>0395021-014</t>
  </si>
  <si>
    <t>15173836</t>
  </si>
  <si>
    <t>ESCOLA MUNICIPAL PROFESSORA CIRIA DE NAZARE TULOSA DOS SANTOS</t>
  </si>
  <si>
    <t>RES. QUINTA DOS PARICAS 6 PROX. A UBS</t>
  </si>
  <si>
    <t>profcirianazaretulosadossantos@semec.belem.pa.gov</t>
  </si>
  <si>
    <t>DECRETO Nº 95.345/2020 - PMB, DE 09 DE JANEIRO DE 2020</t>
  </si>
  <si>
    <t>32/2020 - CME, DE 22/12/2020</t>
  </si>
  <si>
    <t>VIRGINIA CONCEIÇÃO DE ALMEIDA NUNES</t>
  </si>
  <si>
    <t>0421871- 016</t>
  </si>
  <si>
    <t>15173801</t>
  </si>
  <si>
    <t>ESCOLA MUNICIPAL PROFESSORA LUZMARINA DE MELO MUNIZ</t>
  </si>
  <si>
    <t>RESIDENCIAL QUINTA DOS PARICAS</t>
  </si>
  <si>
    <t>profluzmarinademelo@semec.belem.pa.gov.br</t>
  </si>
  <si>
    <t>DECRETO Nº 94.243/2019 - PMB, DE 16 DE JULHO DE 2019</t>
  </si>
  <si>
    <t>13/2022 - CME, DE 21/12/2022</t>
  </si>
  <si>
    <t>ANDREIA MARQUES LOPES GUALBERTO</t>
  </si>
  <si>
    <t>0411060- 015</t>
  </si>
  <si>
    <t>LILIAN GLEYCE DE OLIVEIRA BARROS</t>
  </si>
  <si>
    <t>0392170-017</t>
  </si>
  <si>
    <t>15173810</t>
  </si>
  <si>
    <t>ESCOLA MUNICIPAL PROFESSORA MARIA DE BELEM CAVALCANTE LESSA</t>
  </si>
  <si>
    <t>RESID QUINTA DOS PAR</t>
  </si>
  <si>
    <t>mariadebelem@semec.belem.pa.gov.br</t>
  </si>
  <si>
    <t>DECRETO Nº 95.195/2019 - PMB, DE 27 DE DEZEMBRO DE 2019</t>
  </si>
  <si>
    <t>05/2022 - CME, DE 21/09/2022</t>
  </si>
  <si>
    <t>ELIZA DOS SANTOS PINHEIRO</t>
  </si>
  <si>
    <t>0421847- 018</t>
  </si>
  <si>
    <t>ELIAS MARCOS TAVARES DE AMORIM</t>
  </si>
  <si>
    <t>2882485-020</t>
  </si>
  <si>
    <t>15157245</t>
  </si>
  <si>
    <t>SOCIEDADE BENEFICENTE PEQUENINOS DE CRISTO CRECHE EDELBURGA QUEIROZ</t>
  </si>
  <si>
    <t>ALAMEDA A</t>
  </si>
  <si>
    <t>2</t>
  </si>
  <si>
    <t>66815776</t>
  </si>
  <si>
    <t>32279735</t>
  </si>
  <si>
    <t>29/2023 - CME, DE 22/11/2023</t>
  </si>
  <si>
    <t>PARQUE GUAJARA - ICOARACI</t>
  </si>
  <si>
    <t>15182274</t>
  </si>
  <si>
    <t>CRECHE MIRANDA</t>
  </si>
  <si>
    <t>RUA MARIO ANDREAZZA</t>
  </si>
  <si>
    <t>66821030</t>
  </si>
  <si>
    <t>CSE MEU AMIGO JHON ICOARACI OSC ANEXO INSTITUTO ACELERA AMAZONIA</t>
  </si>
  <si>
    <t>PASSAGEM LIBERAL</t>
  </si>
  <si>
    <t>66821110</t>
  </si>
  <si>
    <t>15174751</t>
  </si>
  <si>
    <t>ESCOLA COMUNITARIA DE ENSINO INFANTIL ALAMEDA DAS PALMEIRAS</t>
  </si>
  <si>
    <t>RUA CARLOS GOMES</t>
  </si>
  <si>
    <t>500</t>
  </si>
  <si>
    <t>66821295</t>
  </si>
  <si>
    <t>40/2023 - CME, DE 13/12/2023</t>
  </si>
  <si>
    <t>15166376</t>
  </si>
  <si>
    <t>ESCOLA MUNICIPAL AYRTON SENNA</t>
  </si>
  <si>
    <t>RESIDENCIAL TOCANTINS</t>
  </si>
  <si>
    <t>ayrtonsenna@semec.belem.pa.gov.br</t>
  </si>
  <si>
    <t>DECRETO Nº 82.904/2015 - PMB, DE 3 DE JUNHO DE 2015</t>
  </si>
  <si>
    <t>06/2025 - CME, DE 06/05/2025</t>
  </si>
  <si>
    <t>MARJA CAROLINA SOARES DE OLIVEIRA</t>
  </si>
  <si>
    <t>0346462- 010</t>
  </si>
  <si>
    <t>CÁSSIO RIBEIRO DA SILVA</t>
  </si>
  <si>
    <t>0426954-017</t>
  </si>
  <si>
    <t>15548066</t>
  </si>
  <si>
    <t>ESCOLA MUNICIPAL CIRO PIMENTA</t>
  </si>
  <si>
    <t>RUA PAULO FREIRE</t>
  </si>
  <si>
    <t>CJ EDUARDO ANGELIM</t>
  </si>
  <si>
    <t>66821590</t>
  </si>
  <si>
    <t>cirodaschagaspimenta@semec.pa.gov.br</t>
  </si>
  <si>
    <t>08/2020 - CME, DE 16/09/2020</t>
  </si>
  <si>
    <t xml:space="preserve">CIBELE DE NAZARE MELO DOS SANTOS </t>
  </si>
  <si>
    <t>0441660- 010</t>
  </si>
  <si>
    <t>MARIA ANGELA CAMPELO JUCA</t>
  </si>
  <si>
    <t>1882384-013</t>
  </si>
  <si>
    <t>15168484</t>
  </si>
  <si>
    <t>ESCOLA MUNICIPAL PROFESSORA RENATA SALES PENA</t>
  </si>
  <si>
    <t>CONJUNTO EDUARDO ANGELIM</t>
  </si>
  <si>
    <t>renatasalespena@semec.belem.pa.gov.br</t>
  </si>
  <si>
    <t>DECRETO Nº 86.401/2016 - PMB, DE 18 DE AGOSTO DE 2016, RETIFICADO PELO DECRETO Nº 86.769/2016 - PMB, DE 09 DE NOVEMBRO DE 2016</t>
  </si>
  <si>
    <t>48/2018 - CME, DE 06/06/2018</t>
  </si>
  <si>
    <t>PATRICIA ANTONIA SOUSA DE LIMA CABRAL</t>
  </si>
  <si>
    <t>1992910- 011</t>
  </si>
  <si>
    <t>PONTA GROSSA - ICOARACI</t>
  </si>
  <si>
    <t>15168476</t>
  </si>
  <si>
    <t>ESCOLA MUNICIPAL CASTANHEIRAS</t>
  </si>
  <si>
    <t>TRAVESSA DA SOLEDADE</t>
  </si>
  <si>
    <t>ESQUINA COM RUA DOIS DE DEZEMBRO</t>
  </si>
  <si>
    <t>66812030</t>
  </si>
  <si>
    <t>castanheiras@semec.belem.pa.gov.br</t>
  </si>
  <si>
    <t>DECRETO Nº 86.140/2016 - PMB, DE 11 DE JULHO DE 2016</t>
  </si>
  <si>
    <t>08/2024 - CME, DE 21/02/2024</t>
  </si>
  <si>
    <t>EDIVALDO FRANCISCO VILHENA DE OLIVEIRA</t>
  </si>
  <si>
    <t>0347213- 014</t>
  </si>
  <si>
    <t>CASSANDRA SANTOS COSTA</t>
  </si>
  <si>
    <t>1991868-011</t>
  </si>
  <si>
    <t>TENONE</t>
  </si>
  <si>
    <t>15170861</t>
  </si>
  <si>
    <t>ESCOLA MUNICIPAL MARIA LUCIA OLIVEIRA MONTEIRO</t>
  </si>
  <si>
    <t>PASSAGEM QUINTA LINHA</t>
  </si>
  <si>
    <t>16</t>
  </si>
  <si>
    <t>RESIDENCIAL CORDOLINA FONTELLES RUA PAULO FREIRE QUADRA 4 N16</t>
  </si>
  <si>
    <t>66820160</t>
  </si>
  <si>
    <t>marialuciaoliveiramonteiro@semec.belem.pa.gov.br</t>
  </si>
  <si>
    <t>DECRETO Nº 91.069/2018 - PMB, DE 24 DE ABRIL DE 2018</t>
  </si>
  <si>
    <t>13/2020 - CME, DE 16/09/2020</t>
  </si>
  <si>
    <t>ADRIANA CRISTINA LOBO TRINDADE</t>
  </si>
  <si>
    <t>0347132- 014</t>
  </si>
  <si>
    <t>EDUARDO DA SILVEIRA SALES</t>
  </si>
  <si>
    <t>0394955-013</t>
  </si>
  <si>
    <t>15569616</t>
  </si>
  <si>
    <t>ESCOLA MUNICIPAL PROFESSOR JAIME DA COSTA TEIXEIRA</t>
  </si>
  <si>
    <t>RODOVIA AUGUSTO MONTENEGRO</t>
  </si>
  <si>
    <t>72</t>
  </si>
  <si>
    <t>LOTEAMENTO FE EM DEUS PASSAGEM TANCREDO NEVES</t>
  </si>
  <si>
    <t>66820000</t>
  </si>
  <si>
    <t>profjaimedacostateixeira@semec.belem.pa.gov.br</t>
  </si>
  <si>
    <t>DECRETO Nº 95.513/2020 - PMB, DE 03 DE FEVEREIRO DE 2020</t>
  </si>
  <si>
    <t>01/2025 - CME, DE 06/05/2025</t>
  </si>
  <si>
    <t>RAYIRA ITACENY DE ARAUJO SILVA</t>
  </si>
  <si>
    <t>0383996- 040</t>
  </si>
  <si>
    <t>JOSELENE DO SOCORRO FARIAS DE FREITAS</t>
  </si>
  <si>
    <t>0325082-022</t>
  </si>
  <si>
    <t>15558290</t>
  </si>
  <si>
    <t>ESCOLA MUNICIPAL PROFESSOR PAULO FREIRE</t>
  </si>
  <si>
    <t>PASSAGEM ALACID NUNES</t>
  </si>
  <si>
    <t>CJ BELA MANUELA II TV. 5</t>
  </si>
  <si>
    <t>66820020</t>
  </si>
  <si>
    <t>paulofreire@semec.belem.pa.gov.br</t>
  </si>
  <si>
    <t>050/2024 - CME, DE 11/12/2024</t>
  </si>
  <si>
    <t>REJANE DE LIMA SOUZA</t>
  </si>
  <si>
    <t>0370665- 015</t>
  </si>
  <si>
    <t>ROSANGELA PARACAMPOS DA SILVA</t>
  </si>
  <si>
    <t>1954563-016</t>
  </si>
  <si>
    <t>15224040</t>
  </si>
  <si>
    <t>ESCOLA MUNICIPAL PROFESSORA RITA NERY</t>
  </si>
  <si>
    <t>PASSAGEM SEXTA LINHA</t>
  </si>
  <si>
    <t>ENTRE WE 01 E WE 02</t>
  </si>
  <si>
    <t>66820170</t>
  </si>
  <si>
    <t>ritanery@semec.belem.pa.gov.br</t>
  </si>
  <si>
    <t>PORTARIA Nº 1.221 / 2009 – PMB, DE 04 DE DEZEMBRO DE 2009, RETIFICADA PELA PORTARIA Nº 0.436/2010 - GABS, DE 17 DE MAIO DE 2010</t>
  </si>
  <si>
    <t>47/2019 - CME, DE 04/09/2019</t>
  </si>
  <si>
    <t>LIDIANE LIMA SOUSA</t>
  </si>
  <si>
    <t>0427403- 014</t>
  </si>
  <si>
    <t>MARCILENO SARAIVA MONTEIRO</t>
  </si>
  <si>
    <t>0053589-017</t>
  </si>
  <si>
    <t>15140600</t>
  </si>
  <si>
    <t>ESCOLA MUNICIPAL THEODOR BADOTTI</t>
  </si>
  <si>
    <t>PASSAGEM SAO JOAO</t>
  </si>
  <si>
    <t>297</t>
  </si>
  <si>
    <t>5 LINHA PROX PARQUE AMAZONIA</t>
  </si>
  <si>
    <t>66820175</t>
  </si>
  <si>
    <t>theodorbadotti@semec.belem.pa.gov.br</t>
  </si>
  <si>
    <t>31/2025 - CME, DE 19/12/2025</t>
  </si>
  <si>
    <t>JULIENNE EDIENNE PEREIRA PANTOJA MONTEIRO</t>
  </si>
  <si>
    <t>0345970- 012</t>
  </si>
  <si>
    <t>ROSILEIDE LEAO NAZARE</t>
  </si>
  <si>
    <t>0053422-015</t>
  </si>
  <si>
    <t>15173879</t>
  </si>
  <si>
    <t>FUNDACAO CRIANCA FELIZ</t>
  </si>
  <si>
    <t>53</t>
  </si>
  <si>
    <t>21/2025 - CME, DE 09/09/2025</t>
  </si>
  <si>
    <t>DAMOS</t>
  </si>
  <si>
    <t>AREA RURAL DE BELEM</t>
  </si>
  <si>
    <t>15043410</t>
  </si>
  <si>
    <t>ESCOLA MUNICIPAL DE EDUCACAO DO CAMPO MARIA CLEMILDES</t>
  </si>
  <si>
    <t>RURAL</t>
  </si>
  <si>
    <t>COMUNIDADE DO CARUARU</t>
  </si>
  <si>
    <t>RAMAL DA FAZENDA BOA ESPERANCA</t>
  </si>
  <si>
    <t>66999899</t>
  </si>
  <si>
    <t>mariaclemildes@semec.belem.pa.gov.br</t>
  </si>
  <si>
    <t>DECRETO Nº 86.757/2016 - PMB, DE 04 DE NOVEMBRO DE 2016</t>
  </si>
  <si>
    <t>23/2023 - CME, DE 22/11/2023</t>
  </si>
  <si>
    <t>HUDSON LEONARDO SILVA RIBEIRO</t>
  </si>
  <si>
    <t>0567817- 024</t>
  </si>
  <si>
    <t>ELIANE NAZARE OLIVEIRA BEZERRA</t>
  </si>
  <si>
    <t>1992139-013</t>
  </si>
  <si>
    <t>15159434</t>
  </si>
  <si>
    <t>ESCOLA MUNICIPAL DE EDUCACAO DO CAMPO MARIA MADALENA TRAVASSOS</t>
  </si>
  <si>
    <t>LOTEAMENTO JARDIM DO PARAISO</t>
  </si>
  <si>
    <t>FINAL DA LINHA DA VAN PARAISO RUA SANTANA</t>
  </si>
  <si>
    <t>mariamadalenatravassos@semec.belem.pa.gov.br</t>
  </si>
  <si>
    <t>DECRETO Nº 95.304/2020 - PMB, DE 08 DE JANEIRO DE 2020</t>
  </si>
  <si>
    <t>18/2025 - CME, DE 17/06/2025</t>
  </si>
  <si>
    <t>ISVANETE COSTA FERREIRA</t>
  </si>
  <si>
    <t>1860879- 010</t>
  </si>
  <si>
    <t>ALUIZIO DO ESPIRITO SANTO FERREIRA</t>
  </si>
  <si>
    <t>0324370-024</t>
  </si>
  <si>
    <t>ARIRAMBA - MOSQUEIRO</t>
  </si>
  <si>
    <t>15043347</t>
  </si>
  <si>
    <t>ESCOLA MUNICIPAL ANNA BARREAU MENINEA</t>
  </si>
  <si>
    <t>RUA DOUTOR JOSE MARIANO CAVALEIRO DE MACEDO</t>
  </si>
  <si>
    <t>FINAL DA VARIANTE ANTIGA VILA NOVA</t>
  </si>
  <si>
    <t>66919140</t>
  </si>
  <si>
    <t>annabarreauminineia@semec.belem.pa.gov.br</t>
  </si>
  <si>
    <t>39/2018 - CME, DE 14/03/2018</t>
  </si>
  <si>
    <t>JACKSON PICANÇO DE OLIVEIRA JUNIOR</t>
  </si>
  <si>
    <t>0346225- 019</t>
  </si>
  <si>
    <t>ADMA DE FATIMA PAMPLONA DA SILVA</t>
  </si>
  <si>
    <t>1889230-011</t>
  </si>
  <si>
    <t>BAIA DO SOL - MOSQUEIRO</t>
  </si>
  <si>
    <t>15543358</t>
  </si>
  <si>
    <t>ESCOLA MUNICIPAL BACURI</t>
  </si>
  <si>
    <t>AVENIDA BEIRA MAR</t>
  </si>
  <si>
    <t>RUA OSVALDO MEDRADA BL13</t>
  </si>
  <si>
    <t>66921135</t>
  </si>
  <si>
    <t>ueibacuri@semec.belem.pa.gov.br</t>
  </si>
  <si>
    <t>PORTARIA Nº 564 / 2007 – PMB, DE 28 DE MAIO DE 2007</t>
  </si>
  <si>
    <t>24/2023 - CME, DE 22/11/2023</t>
  </si>
  <si>
    <t>JOANE SILVA DA SILVA</t>
  </si>
  <si>
    <t>0293083- 037</t>
  </si>
  <si>
    <t>15043371</t>
  </si>
  <si>
    <t>ESCOLA MUNICIPAL LAURO CHAVES</t>
  </si>
  <si>
    <t>EM FRENTE A PRACA</t>
  </si>
  <si>
    <t>laurochaves@semec.belem.pa.gov.br</t>
  </si>
  <si>
    <t>09/2026 - CME, DE 09/06/2026</t>
  </si>
  <si>
    <t>HELENA CRISTINA QUEIROZ MOURA</t>
  </si>
  <si>
    <t>0346926- 017</t>
  </si>
  <si>
    <t>MANOEL RAIMUNDO DO VALE SILVA</t>
  </si>
  <si>
    <t>1840746-014</t>
  </si>
  <si>
    <t>CARANANDUBA - MOSQUEIRO</t>
  </si>
  <si>
    <t>CENTRO EDUCACIONAL MOSQUEIRO OSC ANEXO DA ASSOCIACAO DE MORADORES DO B GUAMA</t>
  </si>
  <si>
    <t>RUA SANTO ANTONIO</t>
  </si>
  <si>
    <t>120</t>
  </si>
  <si>
    <t>66923100</t>
  </si>
  <si>
    <t>15043274</t>
  </si>
  <si>
    <t>ESCOLA MUNICIPAL ABEL MARTINS</t>
  </si>
  <si>
    <t>RUA LALOR MOTA</t>
  </si>
  <si>
    <t>551</t>
  </si>
  <si>
    <t>ESQUINA COM RUA SANTA RITA</t>
  </si>
  <si>
    <t>66923060</t>
  </si>
  <si>
    <t>abelmartins@semec.belem.pa.gov.br</t>
  </si>
  <si>
    <t>043/2024 - CME, DE 23/10/2024</t>
  </si>
  <si>
    <t>GRACY NERY DE MELO PERALTA</t>
  </si>
  <si>
    <t>0346101- 018</t>
  </si>
  <si>
    <t>RILDO JAIRO BARBOSA SILVA</t>
  </si>
  <si>
    <t>1865641-011</t>
  </si>
  <si>
    <t>15543404</t>
  </si>
  <si>
    <t>ESCOLA MUNICIPAL ROTARY CLUB</t>
  </si>
  <si>
    <t>ESTRADA DO DNER</t>
  </si>
  <si>
    <t>834</t>
  </si>
  <si>
    <t>RUA CEMITERIO ENTRE BL 19E RUA LALOR MOTA</t>
  </si>
  <si>
    <t>66923050</t>
  </si>
  <si>
    <t>uei.rotary@semec.belem.pa.gov.br</t>
  </si>
  <si>
    <t>PORTARIA Nº 563 / 2007 – PMB, DE 28 DE MAIO DE 2007</t>
  </si>
  <si>
    <t>05/2025 - CME, DE 06/05/2025</t>
  </si>
  <si>
    <t>ELIANA DO SOCORRO PAIXÃO DA SILVA</t>
  </si>
  <si>
    <t>0157546- 128</t>
  </si>
  <si>
    <t>15159442</t>
  </si>
  <si>
    <t>FUNDACAO ACOLHER</t>
  </si>
  <si>
    <t>RODOVIA ENGENHEIRO AUGUSTO MEIRA FILHO</t>
  </si>
  <si>
    <t>1330</t>
  </si>
  <si>
    <t>66923120</t>
  </si>
  <si>
    <t>37721410</t>
  </si>
  <si>
    <t>07/2025 - CME, DE 06/05/2025</t>
  </si>
  <si>
    <t>INSTITUTO ACELERA AMAZONIA</t>
  </si>
  <si>
    <t>2236</t>
  </si>
  <si>
    <t>8/31/2026</t>
  </si>
  <si>
    <t>CHAPEU VIRADO - MOSQUEIRO</t>
  </si>
  <si>
    <t>CENTRO EDUCACIONAL PEDRO VIEIRA OSC ANEXO DO INSTITUTO PEDRO VIEIRA</t>
  </si>
  <si>
    <t>PASSAGEM ROMAO</t>
  </si>
  <si>
    <t>12</t>
  </si>
  <si>
    <t>66913500</t>
  </si>
  <si>
    <t>15543315</t>
  </si>
  <si>
    <t>ESCOLA MUNICIPAL PANAPANA</t>
  </si>
  <si>
    <t>AVENIDA DEZESSEIS DE NOVEMBRO</t>
  </si>
  <si>
    <t>18</t>
  </si>
  <si>
    <t>ALAMEDA TERESOPOLIS AO LADO DO HOTEL LICE</t>
  </si>
  <si>
    <t>66913430</t>
  </si>
  <si>
    <t>uei.panapana@semec.pmb.pa.gov.br</t>
  </si>
  <si>
    <t>21/2014 - CME, DE 05/11/2014</t>
  </si>
  <si>
    <t>MERY SANDES COLARES LIMA</t>
  </si>
  <si>
    <t>2008580- 029</t>
  </si>
  <si>
    <t>FAROL - MOSQUEIRO</t>
  </si>
  <si>
    <t>15043401</t>
  </si>
  <si>
    <t>ESCOLA MUNICIPAL DONATILA SANTANA LOPES</t>
  </si>
  <si>
    <t>RUA FRANCELINO SANTOS</t>
  </si>
  <si>
    <t>RUA DA BATERIA ENTRE 16 DE NOVEMBRO E BEIRA MAR</t>
  </si>
  <si>
    <t>66916040</t>
  </si>
  <si>
    <t>emef.donatilaslopes@semec.pmb.pa.gov.br</t>
  </si>
  <si>
    <t>024/2024 - CME, DE 19/06/2024</t>
  </si>
  <si>
    <t>WILLAMES PAULO BRAZ TRINDADE</t>
  </si>
  <si>
    <t>0454931- 034</t>
  </si>
  <si>
    <t>MARIA LUIZA MONTEIRO DA SILVA</t>
  </si>
  <si>
    <t>1870483-011</t>
  </si>
  <si>
    <t>MARACAJA - MOSQUEIRO</t>
  </si>
  <si>
    <t>15043428</t>
  </si>
  <si>
    <t>ESCOLA MUNICIPAL REMIGIO FERNANDEZ</t>
  </si>
  <si>
    <t>TRAVESSA DO MARACAJA</t>
  </si>
  <si>
    <t>ESQUINA COM A TOCANTINS PENA</t>
  </si>
  <si>
    <t>66911010</t>
  </si>
  <si>
    <t>escolaremigiofernandez@semec.belem.pa.gov.br</t>
  </si>
  <si>
    <t>59/2018 - CME, DE 27/06/2018</t>
  </si>
  <si>
    <t>JOSIANE DA CRUZ MOURA RABELO</t>
  </si>
  <si>
    <t>CARMEN BASTOS FERREIRA</t>
  </si>
  <si>
    <t>0049611-011</t>
  </si>
  <si>
    <t>SAO FRANCISCO - MOSQUEIRO</t>
  </si>
  <si>
    <t>15043355</t>
  </si>
  <si>
    <t>ESCOLA MUNICIPAL MAROJA NETO</t>
  </si>
  <si>
    <t>ESTRADA SAO FRANCISCO</t>
  </si>
  <si>
    <t>ENTRE EMBRATEL E PONTE DO CAJUEIRO</t>
  </si>
  <si>
    <t>66920790</t>
  </si>
  <si>
    <t>marojaneto@semec.belem.pa.gov.br</t>
  </si>
  <si>
    <t>11/2019 - CME, DE 04/01/2019</t>
  </si>
  <si>
    <t>IVANIZA OLIVEIRA SILVA</t>
  </si>
  <si>
    <t>0568589- 017</t>
  </si>
  <si>
    <t>KASSIO ALBERTO CORREA PAULA</t>
  </si>
  <si>
    <t>0394688-015</t>
  </si>
  <si>
    <t>15167402</t>
  </si>
  <si>
    <t>ESCOLA MUNICIPAL MOSQUEIRO</t>
  </si>
  <si>
    <t>RUA SAO FRANCISCO</t>
  </si>
  <si>
    <t>212</t>
  </si>
  <si>
    <t>PROXIMO A ESCOLA MAROJA NETO URBANO</t>
  </si>
  <si>
    <t>66920380</t>
  </si>
  <si>
    <t>emeimosqueiro@gmail.com</t>
  </si>
  <si>
    <t>DECRETO Nº 85.350/2016 - PMB, DE 01 DE ABRIL DE 2016</t>
  </si>
  <si>
    <t>ANTENOR JUNIOR</t>
  </si>
  <si>
    <t>15167658</t>
  </si>
  <si>
    <t>ESCOLA MUNICIPAL SAO FRANCISCO</t>
  </si>
  <si>
    <t>ESTRADA DO SAO FRANCISCO PROXIMO A EM MAROJA NETO</t>
  </si>
  <si>
    <t>saofrancisco@semec.belem.pa.gov.br</t>
  </si>
  <si>
    <t>DECRETO Nº 85.302/2016 - PMB, DE 22 DE MARÇO DE 2016</t>
  </si>
  <si>
    <t>50/2019 - CME, DE 04/09/2019</t>
  </si>
  <si>
    <t>KATIANE RODRIGUES DOS SANTOS</t>
  </si>
  <si>
    <t>0568899- 016</t>
  </si>
  <si>
    <t>SUCURIJUQUARA - MOSQUEIRO</t>
  </si>
  <si>
    <t>15043398</t>
  </si>
  <si>
    <t>ESCOLA MUNICIPAL DE EDUCACAO QUILOMBOLA DE SUCURIJUQUARA ARLINDA GOMES</t>
  </si>
  <si>
    <t>LOTEAMENTO OLINDA I</t>
  </si>
  <si>
    <t>PRACA NOSSA SENHORA DA CONCEICAO ROD BL 13</t>
  </si>
  <si>
    <t>66933030</t>
  </si>
  <si>
    <t>campoangelusnascimento@semec.belem.pa.gov.br</t>
  </si>
  <si>
    <t>DECRETO Nº 111.392/2024 - PMB, DE 26 DE JUNHO DE 2024</t>
  </si>
  <si>
    <t>GIOVANE DE OLIVEIRA</t>
  </si>
  <si>
    <t>0474711- 021</t>
  </si>
  <si>
    <t>DILCELLE DE NAZARÉ ANGELIN DA SILVA</t>
  </si>
  <si>
    <t>0390542-016</t>
  </si>
  <si>
    <t>VILA - MOSQUEIRO</t>
  </si>
  <si>
    <t>15152260</t>
  </si>
  <si>
    <t>ESCOLA MUNICIPAL MARACAJA</t>
  </si>
  <si>
    <t>TRAVESSA SIQUEIRA MENDES</t>
  </si>
  <si>
    <t>EM FRENTE A HONORATO FILGUEIRAS</t>
  </si>
  <si>
    <t>66910110</t>
  </si>
  <si>
    <t>uei.maracaja@semec.belem.pa.gov.br</t>
  </si>
  <si>
    <t>PORTARIA Nº 562 / 2007 – PMB, DE 28 DE MAIO DE 2007</t>
  </si>
  <si>
    <t>23/2014 - CME, DE 05/11/2014</t>
  </si>
  <si>
    <t>MARILIA BRITO SOEIRO DE FARIA</t>
  </si>
  <si>
    <t>0347981- 011</t>
  </si>
  <si>
    <t>DAOUT</t>
  </si>
  <si>
    <t>AGUA BOA - OUTEIRO</t>
  </si>
  <si>
    <t>15543242</t>
  </si>
  <si>
    <t>ESCOLA MUNICIPAL ITAITEUA</t>
  </si>
  <si>
    <t>TRAVESSA DOUTOR EVANDRO BONA</t>
  </si>
  <si>
    <t>298</t>
  </si>
  <si>
    <t>PROX. PSG N S DE FATIMA</t>
  </si>
  <si>
    <t>66843470</t>
  </si>
  <si>
    <t>itaiteua@semec.belem.pa.gov.br</t>
  </si>
  <si>
    <t>31/2020 - CME, DE 22/12/2020</t>
  </si>
  <si>
    <t>ALESSANDRA ROCHA DA CRUZ MOURA</t>
  </si>
  <si>
    <t>0352101- 016</t>
  </si>
  <si>
    <t>LADYANNE DA SILVA MACEDO</t>
  </si>
  <si>
    <t>0538957-018</t>
  </si>
  <si>
    <t>15159450</t>
  </si>
  <si>
    <t>ESCOLA MUNICIPAL PROFESSOR PEDRO DEMO</t>
  </si>
  <si>
    <t>RUA DO ESTACIONAMENTO</t>
  </si>
  <si>
    <t>ENTRE RUA IPANEMA E AVENIDA ATLANTICA ESTACIONAMENTO DA PRAIA DO AMOR</t>
  </si>
  <si>
    <t>66843730</t>
  </si>
  <si>
    <t>profpedrodemo@semec.belem.pa.gov.br</t>
  </si>
  <si>
    <t>DECRETO Nº 68.678/2011-PMB, DE 21 DE DEZEMBRO DE 2011</t>
  </si>
  <si>
    <t>039/2024 - CME, DE 23/10/2024</t>
  </si>
  <si>
    <t>VIVIANE JACIMARA SOUZA DA SILVA</t>
  </si>
  <si>
    <t>0371033- 012</t>
  </si>
  <si>
    <t>MICHELLE TADAIESKY TAVARES</t>
  </si>
  <si>
    <t>0390020-010</t>
  </si>
  <si>
    <t>15181855</t>
  </si>
  <si>
    <t>ANEXO JAMACI DA EM FAVEIRA</t>
  </si>
  <si>
    <t>ILHA DE PAQUETA OU URUBUOCA</t>
  </si>
  <si>
    <t>ENT ILHA DE COTIJUBA E ILHA DE OUTEIRO</t>
  </si>
  <si>
    <t>em.faveira@semec.pmb.pa.gov.br</t>
  </si>
  <si>
    <t>DECRETO N.º 113.722/2025 – PMB, DE 23 DE JUNHO DE 2025</t>
  </si>
  <si>
    <t>JOSIANE DO SOCORRO DOS SANTOS AZEVEDO MEDEIROS</t>
  </si>
  <si>
    <t xml:space="preserve"> 0340863- 021</t>
  </si>
  <si>
    <t>ANEXO JUTUBA DA EM FAVEIRA</t>
  </si>
  <si>
    <t>ILHA JUTUBA</t>
  </si>
  <si>
    <t>15181766</t>
  </si>
  <si>
    <t>ANEXO NSRA DOS NAVEGANTES VARZEA DA EM DE EDUC DO CAMPO SAO JOSE</t>
  </si>
  <si>
    <t>IGARAPE DO AURA COMUNIDADE NSRA DOS NAVEGANTES</t>
  </si>
  <si>
    <t>IGARAPE AURA</t>
  </si>
  <si>
    <t>DECRETO N.º 113.721/2025 – PMB, DE 23 DE JUNHO DE 2025</t>
  </si>
  <si>
    <t>MARIA ELIZA BARBOSA CARDOSO</t>
  </si>
  <si>
    <t>0568279- 018</t>
  </si>
  <si>
    <t>15172392</t>
  </si>
  <si>
    <t>ANEXO SANTO ANTONIO DA EM DE EDUC DO CAMPO SEBASTIAO DOS S QUARESMA</t>
  </si>
  <si>
    <t>IGARAPE PIRIQUITARA ILHA DO COMBU</t>
  </si>
  <si>
    <t>COMUNIDADE DE SANTO ANTONIO</t>
  </si>
  <si>
    <t>DECRETO Nº 93.155/2019 – PMB, DE 20 DE FEVEREIRO DE 2019</t>
  </si>
  <si>
    <t>13/2023 - CME, DE 21/06/2023</t>
  </si>
  <si>
    <t>MARCELE ASSUNÇÃO MOREIRA</t>
  </si>
  <si>
    <t>15161552</t>
  </si>
  <si>
    <t>ESCOLA MUNICIPAL DE EDUCACAO DO CAMPO MILTON MONTE</t>
  </si>
  <si>
    <t>FURO SAO BENEDITO COSTA DA ILHA DO COMBU</t>
  </si>
  <si>
    <t>ILHAS SUL DE BELEM</t>
  </si>
  <si>
    <t>miltonmonte@semec.belem.pa.gov.br</t>
  </si>
  <si>
    <t>DECRETO Nº 94.448/2019 - PMB, DE 27 DE AGOSTO DE 2019</t>
  </si>
  <si>
    <t>047/2024 - CME, DE 11/12/2024</t>
  </si>
  <si>
    <t xml:space="preserve">ELISON COUTINHO FERREIRA </t>
  </si>
  <si>
    <t>0352470- 011</t>
  </si>
  <si>
    <t>ESCOLA MUNICIPAL DE EDUCACAO DO CAMPO SAO JOSE</t>
  </si>
  <si>
    <t>RIO BIJOGO</t>
  </si>
  <si>
    <t>emec.saojose@semec.pmb.pa.gov.br</t>
  </si>
  <si>
    <t xml:space="preserve">JENIJUNIO DOS SANTOS </t>
  </si>
  <si>
    <t>1961349- 016</t>
  </si>
  <si>
    <t>ESCOLA MUNICIPAL DE EDUCACAO DO CAMPO SEBASTIAO DOS SANTOS QUARESMA</t>
  </si>
  <si>
    <t>ILHA DO COMBU</t>
  </si>
  <si>
    <t>IGARAPE DO COMBU</t>
  </si>
  <si>
    <t>sebastiaquaresma@semec.belem.pa.gov.br</t>
  </si>
  <si>
    <t>ALCILEA DE SOUZA FAZZI</t>
  </si>
  <si>
    <t>0568325- 010</t>
  </si>
  <si>
    <t>MAURO SERGIO DA SILVA</t>
  </si>
  <si>
    <t>0390178-012</t>
  </si>
  <si>
    <t>BRASILIA - OUTEIRO</t>
  </si>
  <si>
    <t>15182584</t>
  </si>
  <si>
    <t>ASSOCIACAO DOS PRODUTORES RURAIS DE CARATATEUA</t>
  </si>
  <si>
    <t>AVENIDA BL 10</t>
  </si>
  <si>
    <t>1031</t>
  </si>
  <si>
    <t>66845840</t>
  </si>
  <si>
    <t>15569624</t>
  </si>
  <si>
    <t>ESCOLA MUNICIPAL PROFESSOR HELDER FIALHO DIAS</t>
  </si>
  <si>
    <t>RUA DAS ORQUIDEAS</t>
  </si>
  <si>
    <t>1605</t>
  </si>
  <si>
    <t>PROXIMO FINAL DA LINHA DO OUTEIRO</t>
  </si>
  <si>
    <t>66845410</t>
  </si>
  <si>
    <t>profhelderfialho@semec.belem.pa.gov.br</t>
  </si>
  <si>
    <t>22/2020 - CME, DE 18/11/2020</t>
  </si>
  <si>
    <t>SANDRA HELENA DA SILVA COUTINHO DO COUTO</t>
  </si>
  <si>
    <t>0355887- 010</t>
  </si>
  <si>
    <t>HAMILTON NEVES SILVA</t>
  </si>
  <si>
    <t>0390259-012</t>
  </si>
  <si>
    <t>COTIJUBA</t>
  </si>
  <si>
    <t>ANEXO FLEXEIRA DA EM FAVEIRA</t>
  </si>
  <si>
    <t>RUA PRAIA DA FLEXEIRA</t>
  </si>
  <si>
    <t>PRAIA FUNDA</t>
  </si>
  <si>
    <t>66846540</t>
  </si>
  <si>
    <t>ANEXO SERINGAL DA EM FAVEIRA</t>
  </si>
  <si>
    <t>ESTRADA DO POCAO</t>
  </si>
  <si>
    <t>PONTA DE BAIXO SERINGAL</t>
  </si>
  <si>
    <t>66846350</t>
  </si>
  <si>
    <t>15167763</t>
  </si>
  <si>
    <t>ESCOLA MUNICIPAL COTIJUBA</t>
  </si>
  <si>
    <t>RUA MAGALHAES BARATA</t>
  </si>
  <si>
    <t>35</t>
  </si>
  <si>
    <t>ILHA DE COTIJUBA</t>
  </si>
  <si>
    <t>66846001</t>
  </si>
  <si>
    <t>cotijuba@semec.belem.pa.gov.br</t>
  </si>
  <si>
    <t>DECRETO Nº 85.922/2016 – PMB, DE 15 DE JUNHO DE 2016.</t>
  </si>
  <si>
    <t>04/2020 - CME, DE 29/01/2020</t>
  </si>
  <si>
    <t>MARINA MICIETE PINHEIRO MUNIZ</t>
  </si>
  <si>
    <t>0423750- 011</t>
  </si>
  <si>
    <t>SANTILENA DO SOCORRO NOGUEIRA DA SILVA</t>
  </si>
  <si>
    <t>0197963-021</t>
  </si>
  <si>
    <t>ESCOLA MUNICIPAL FAVEIRA</t>
  </si>
  <si>
    <t>RUA JARBAS PASSARINHO</t>
  </si>
  <si>
    <t>66846010</t>
  </si>
  <si>
    <t xml:space="preserve">JOSIANE DO SOCORRO DOS SANTOS AZEVEDO MEDEIROS </t>
  </si>
  <si>
    <t>DANIEL DA SILVA SILVA</t>
  </si>
  <si>
    <t>0415260-027</t>
  </si>
  <si>
    <t>ITAITEUA - OUTEIRO</t>
  </si>
  <si>
    <t>15219038</t>
  </si>
  <si>
    <t>ESCOLA MUNICIPAL CASA DA PESCA</t>
  </si>
  <si>
    <t>RUA EVANDRO BONA</t>
  </si>
  <si>
    <t>66842090</t>
  </si>
  <si>
    <t>em.cp@semec.pmb.pa.gov.br</t>
  </si>
  <si>
    <t>PORTARIA Nº. 031/2010 – GP, DE 02 DE FEVEREIRO DE 2010</t>
  </si>
  <si>
    <t>MARCIA MACHADO DE MORAES</t>
  </si>
  <si>
    <t>1982370- 014</t>
  </si>
  <si>
    <t>JOSE NIROND PIMENTEL FREITAS</t>
  </si>
  <si>
    <t>0433969-024</t>
  </si>
  <si>
    <t>15043053</t>
  </si>
  <si>
    <t>ESCOLA MUNICIPAL MONSENHOR JOSE MARIA AZEVEDO</t>
  </si>
  <si>
    <t>ESTRADA ITAITEUA</t>
  </si>
  <si>
    <t>295</t>
  </si>
  <si>
    <t>EM FRENTE A CAPELA CATOLICA NOSSA DE FATIMA</t>
  </si>
  <si>
    <t>66842030</t>
  </si>
  <si>
    <t>monsenhorjosemaria@semec.belem.pa.gov.br</t>
  </si>
  <si>
    <t>04/2025 - CME, DE 06/05/2025</t>
  </si>
  <si>
    <t>LECY NAZARE BARBOSA DE CASTRO</t>
  </si>
  <si>
    <t>1961306- 015</t>
  </si>
  <si>
    <t>CLAIRTON XISTO BARATA BARBOSA</t>
  </si>
  <si>
    <t>1836285-016</t>
  </si>
  <si>
    <t>15173895</t>
  </si>
  <si>
    <t>ESCOLA MUNICIPAL PROFESSORA RENILDES NUNES BATISTA</t>
  </si>
  <si>
    <t>ALAMEDA RUFINO</t>
  </si>
  <si>
    <t>COMUNIDADE DO FIDELIS AO LADO DO POSTO DE SAUDE</t>
  </si>
  <si>
    <t>66842250</t>
  </si>
  <si>
    <t>profrenildesnunes@semec.belem.pa.gov.br</t>
  </si>
  <si>
    <t>DECRETO Nº 94.463/2019 - PMB, DE 10 DE SETEMBRO DE 2019</t>
  </si>
  <si>
    <t>25/2023 - CME, DE 22/11/2023</t>
  </si>
  <si>
    <t>MARCOS COSTA CARDOSO</t>
  </si>
  <si>
    <t>0573256- 012</t>
  </si>
  <si>
    <t>CLAUDIANA ALCANFORADO DE OLIVEIRA</t>
  </si>
  <si>
    <t>0394971-019</t>
  </si>
  <si>
    <t>SAO JOAO DO OUTEIRO - OUTEIRO</t>
  </si>
  <si>
    <t>CSE MEU AMIGO JHON OUTEIRO OSC ANEXO INSTITUTO ACELERA AMAZONIA</t>
  </si>
  <si>
    <t>TRAVESSA SAO JORGE</t>
  </si>
  <si>
    <t>171</t>
  </si>
  <si>
    <t>66840215</t>
  </si>
  <si>
    <t>15140759</t>
  </si>
  <si>
    <t>ESCOLA MUNICIPAL BOSQUE PROF EIDORFE MOREIRA</t>
  </si>
  <si>
    <t>AVENIDA NOSSA SENHORA DA CONCEICAO</t>
  </si>
  <si>
    <t>PROXIMO A PRAIA DA BRASILIA</t>
  </si>
  <si>
    <t>66840450</t>
  </si>
  <si>
    <t>coordenacaopedagigicadunbosque@yahoo.com.br</t>
  </si>
  <si>
    <t>LEI ORDINÁRIA Nº 7.747/1995 - PMB, DE 02 DE JANEIRO DE 1995</t>
  </si>
  <si>
    <t>28/2020 - CME, DE 18/11/2020</t>
  </si>
  <si>
    <t>LUCIENE LISBOA GOMES RIBEIRO</t>
  </si>
  <si>
    <t>0398594- 031</t>
  </si>
  <si>
    <t>JHENYFFER  JOICE CASTRO SOUZA</t>
  </si>
  <si>
    <t>0394319-010</t>
  </si>
  <si>
    <t>DASAC</t>
  </si>
  <si>
    <t>BARREIRO</t>
  </si>
  <si>
    <t>15558312</t>
  </si>
  <si>
    <t>ESCOLA MUNICIPAL ERE</t>
  </si>
  <si>
    <t>PASSAGEM NOSSA SENHORA DA GUIA</t>
  </si>
  <si>
    <t>3335</t>
  </si>
  <si>
    <t>RUA STELIO MAROJA</t>
  </si>
  <si>
    <t>66117210</t>
  </si>
  <si>
    <t>ere@semec.belem.pa.gov.br</t>
  </si>
  <si>
    <t>DECRETO Nº 94.460/2019 - PMB, DE 28 DE AGOSTO DE 2019</t>
  </si>
  <si>
    <t>20/2023 - CME, DE 18/10/2023</t>
  </si>
  <si>
    <t>DENIZE DE JESUS OLIVEIRA LUZ</t>
  </si>
  <si>
    <t>1964925- 018</t>
  </si>
  <si>
    <t>MAX DOUGLAS PORTAL GOMES</t>
  </si>
  <si>
    <t>0394238-010</t>
  </si>
  <si>
    <t>15543307</t>
  </si>
  <si>
    <t>ESCOLA MUNICIPAL IZA CUNHA</t>
  </si>
  <si>
    <t>PASSAGEM UMARIZAL</t>
  </si>
  <si>
    <t>ENTRE PASSAGEM VITORIA E PASSAGEM CAJU</t>
  </si>
  <si>
    <t>66117070</t>
  </si>
  <si>
    <t>izacunha@semec.belem.pa.gov.br</t>
  </si>
  <si>
    <t>PORTARIA Nº 1.019/2007 - PMB, DE 12 DE SETEMBRO DE 2007</t>
  </si>
  <si>
    <t>037/2024 - CME, DE 23/10/2024</t>
  </si>
  <si>
    <t>JOSIANE DE CASSIA DA SILVA SOARES</t>
  </si>
  <si>
    <t>0378950- 010</t>
  </si>
  <si>
    <t>FATIMA</t>
  </si>
  <si>
    <t>15516512</t>
  </si>
  <si>
    <t>ACAO SOCIAL DA MATINHA</t>
  </si>
  <si>
    <t>44</t>
  </si>
  <si>
    <t>66060110</t>
  </si>
  <si>
    <t>88379551</t>
  </si>
  <si>
    <t>010/2024 - CME, DE 15/05/2024</t>
  </si>
  <si>
    <t>15040690</t>
  </si>
  <si>
    <t>ESCOLA MUNICIPAL AMANCIA PANTOJA</t>
  </si>
  <si>
    <t>ENTRADA PELA PASSAGEM CRUZEIRO SECUNDARIA ENTRE ANTONIO BARRETO E DOMINGOS MARREIROS</t>
  </si>
  <si>
    <t>66060220</t>
  </si>
  <si>
    <t>amanciapantoja@semec.belem.pa.gov.br</t>
  </si>
  <si>
    <t xml:space="preserve">27/2023 - CME, DE 22/11/2023 </t>
  </si>
  <si>
    <t>VALERIA CAROLINA MONTEIRO DE CASTRO</t>
  </si>
  <si>
    <t>0374857- 016</t>
  </si>
  <si>
    <t>ARTHUR MORAES AMADOR</t>
  </si>
  <si>
    <t>0391085-018</t>
  </si>
  <si>
    <t>15167356</t>
  </si>
  <si>
    <t>ESCOLA MUNICIPAL CANTO DO UIRAPURU</t>
  </si>
  <si>
    <t>QUADRA QUARENTA E NOVE</t>
  </si>
  <si>
    <t>3</t>
  </si>
  <si>
    <t>CONJUNTO PARAISO DOS PASSAROS RUA ARUA</t>
  </si>
  <si>
    <t>66110153</t>
  </si>
  <si>
    <t>cantodouirapuru@semec.belem.pa.gov.br</t>
  </si>
  <si>
    <t>DECRETO Nº 85.303/2016 - PMB, DE 22 DE MARÇO DE 2016</t>
  </si>
  <si>
    <t>03/2025 - CME, DE 06/05/2025</t>
  </si>
  <si>
    <t>VALERIA PATRICIA DE FARIAS CUELLAR ALMEIDA</t>
  </si>
  <si>
    <t>0371971- 012</t>
  </si>
  <si>
    <t>15167348</t>
  </si>
  <si>
    <t>ESCOLA MUNICIPAL REVOAR DAS ANDORINHAS</t>
  </si>
  <si>
    <t>QUADRA SETE</t>
  </si>
  <si>
    <t>CONJUNTO PARAISO DOS PASSAROS TRAVESSA MACARICO</t>
  </si>
  <si>
    <t>66110096</t>
  </si>
  <si>
    <t>revoardasandorinhas@semec.belem.pa.gov.br</t>
  </si>
  <si>
    <t>DECRETO Nº 85.301/2016 - PMB, DE 22 DE MARÇO DE 2016</t>
  </si>
  <si>
    <t>20/2025 - CME, DE 09/09/2025</t>
  </si>
  <si>
    <t>ERCILIA PATRICIA VILHENA PEREIRA</t>
  </si>
  <si>
    <t>0421731- 010</t>
  </si>
  <si>
    <t>PEDREIRA</t>
  </si>
  <si>
    <t>15040933</t>
  </si>
  <si>
    <t>ESCOLA MUNICIPAL JOSINO VIANA</t>
  </si>
  <si>
    <t>639</t>
  </si>
  <si>
    <t>PROXIMO A PEDRO MIRANDA</t>
  </si>
  <si>
    <t>66080322</t>
  </si>
  <si>
    <t>08/2025 - CME, DE 06/05/2025</t>
  </si>
  <si>
    <t>NARACI MARIA FAVACHO LOBATO</t>
  </si>
  <si>
    <t>0347060- 013</t>
  </si>
  <si>
    <t>GILDIMAR FERREIRA PEREIRA</t>
  </si>
  <si>
    <t>1989421-013</t>
  </si>
  <si>
    <t>15040844</t>
  </si>
  <si>
    <t>ESCOLA MUNICIPAL PALMIRA DE OLIVEIRA GABRIEL</t>
  </si>
  <si>
    <t>TRAVESSA TIMBO</t>
  </si>
  <si>
    <t>681</t>
  </si>
  <si>
    <t>ENTRE RUA EVERDOSA E RUA NOVA</t>
  </si>
  <si>
    <t>66083047</t>
  </si>
  <si>
    <t>palmiragabriel@semec.belem.pa.gov.br</t>
  </si>
  <si>
    <t>59/2019 - CME, DE 20/12/2019</t>
  </si>
  <si>
    <t>DANIELLE DOS SANTOS RODRIGUES</t>
  </si>
  <si>
    <t>2009072- 027</t>
  </si>
  <si>
    <t>MARCOS SOUZA FERREIRA</t>
  </si>
  <si>
    <t>1882376-010</t>
  </si>
  <si>
    <t>15543412</t>
  </si>
  <si>
    <t>ESCOLA MUNICIPAL SACRAMENTA</t>
  </si>
  <si>
    <t>PASSAGEM DOUTOR FREITAS</t>
  </si>
  <si>
    <t>21</t>
  </si>
  <si>
    <t>ENTRE AV SEN LEMOS E PAS QUARUBAS</t>
  </si>
  <si>
    <t>66080630</t>
  </si>
  <si>
    <t>uei.sacramenta@semec.pmb.pa.gov.br</t>
  </si>
  <si>
    <t>PORTARIA Nº 553 / 2007 – PMB, DE 28 DE MAIO DE 2007</t>
  </si>
  <si>
    <t>14/2015 - CME, DE 26/08/2015</t>
  </si>
  <si>
    <t>CLAUDIA DE JESUS NUNES PIMENTEL MOREIRA</t>
  </si>
  <si>
    <t>0411027- 018</t>
  </si>
  <si>
    <t>15181693</t>
  </si>
  <si>
    <t>ESCOLA MUNICIPAL VISCONDE DE INHAUMA</t>
  </si>
  <si>
    <t>TRAVESSA MAURITI</t>
  </si>
  <si>
    <t>2136</t>
  </si>
  <si>
    <t>TRAVESSA MAURITI ENTRE DUQUE E VISCONDE DE INHAUMA</t>
  </si>
  <si>
    <t>66087680</t>
  </si>
  <si>
    <t>ccbaseviscondedeinhauma.semec@gov.com.br</t>
  </si>
  <si>
    <t>DECRETO N.º 113.728/2025 – PMB, DE 23 DE JUNHO DE 2025</t>
  </si>
  <si>
    <t>NATHALIA PILAR CEREJA DOS SANTOS</t>
  </si>
  <si>
    <t>0348082- 010</t>
  </si>
  <si>
    <t>ELIETE PORFIRIO DE LIMA</t>
  </si>
  <si>
    <t>1894293-018</t>
  </si>
  <si>
    <t>SACRAMENTA</t>
  </si>
  <si>
    <t>15041123</t>
  </si>
  <si>
    <t>ANEXO C C SAO JOSE DA EM COMANDANTE KLAUTAU</t>
  </si>
  <si>
    <t>165</t>
  </si>
  <si>
    <t>66120270</t>
  </si>
  <si>
    <t>011/2024 - CME, DE 15/05/2024</t>
  </si>
  <si>
    <t>DEYSE CRISTINE OLIVEIRA DA CRUZ</t>
  </si>
  <si>
    <t>0411566- 016</t>
  </si>
  <si>
    <t>ANEXO PROF SUZETE PERES MAXWELL DA EM ERE</t>
  </si>
  <si>
    <t>PASSAGEM COMENDADOR PINHO</t>
  </si>
  <si>
    <t>153</t>
  </si>
  <si>
    <t>66083200</t>
  </si>
  <si>
    <t>suzeteperesmaxwell@semec.belem.pa.gov.br</t>
  </si>
  <si>
    <t>PORTARIA Nº. 3.259/2020 - GABS, DE 01 DE DEZEMBRO DE 2020</t>
  </si>
  <si>
    <t>EREDI CARDOSO RODRIGUES MAFRA</t>
  </si>
  <si>
    <t>0411337- 017</t>
  </si>
  <si>
    <t>15521907</t>
  </si>
  <si>
    <t>C C UNIAO DOS AMIGOS DO BAIRRO DA SACRAMENTA</t>
  </si>
  <si>
    <t>PASSAGEM SANTA MARIA</t>
  </si>
  <si>
    <t>414</t>
  </si>
  <si>
    <t>66120300</t>
  </si>
  <si>
    <t>32334067</t>
  </si>
  <si>
    <t>36/2023 - CME, DE 22/11/2023</t>
  </si>
  <si>
    <t>15181731</t>
  </si>
  <si>
    <t>ESCOLA MUNICIPAL ANETE MONTEIRO RODRIGUES</t>
  </si>
  <si>
    <t>RUA OSVALDO CHAVES</t>
  </si>
  <si>
    <t>EM FRENTE AO CANAL MALVINAS ENTRE JULIA RAMOS E ANA DANTAS</t>
  </si>
  <si>
    <t>66123140</t>
  </si>
  <si>
    <t>em.anetemrodrigues@semec.pmb.pa.gov.br</t>
  </si>
  <si>
    <t>DECRETO Nº 111.989/2024 - PMB, DE 13 DE AGOSTO DE 2024.</t>
  </si>
  <si>
    <t>ELIANE CONCEIÇÃO FERREIRA NEVES</t>
  </si>
  <si>
    <t>0350370- 010</t>
  </si>
  <si>
    <t>ESCOLA MUNICIPAL COMANDANTE KLAUTAU</t>
  </si>
  <si>
    <t>PASSAGEM SAO BENEDITO</t>
  </si>
  <si>
    <t>610</t>
  </si>
  <si>
    <t>AVENIDA PEDRO ALVARES CABRAL PROX CONJUNTO CPD ESQUINA COM PASSAGEM GARRINCHA</t>
  </si>
  <si>
    <t>66120260</t>
  </si>
  <si>
    <t>comandanteklautau@semec.belem.pa.gov.br</t>
  </si>
  <si>
    <t>DANIELLE DA SILVA BOAIS</t>
  </si>
  <si>
    <t>0370681- 010</t>
  </si>
  <si>
    <t>ANDRE RICARDO NUNES SALGADO</t>
  </si>
  <si>
    <t>0390100-013</t>
  </si>
  <si>
    <t>15039269</t>
  </si>
  <si>
    <t>ESCOLA MUNICIPAL INES MAROJA</t>
  </si>
  <si>
    <t>AVENIDA SENADOR LEMOS</t>
  </si>
  <si>
    <t>2995</t>
  </si>
  <si>
    <t>PROX PRACA DO JAU PREDIO ALUGADO</t>
  </si>
  <si>
    <t>66120000</t>
  </si>
  <si>
    <t>inesmaroja@semec.belem.pa.gov.br</t>
  </si>
  <si>
    <t>80/2018 - CME, DE 19/12/2018</t>
  </si>
  <si>
    <t>JOSE AUGUSTO DUARTE</t>
  </si>
  <si>
    <t>GIOVANNE DOS SANTOS DUARTE</t>
  </si>
  <si>
    <t>0426970-012</t>
  </si>
  <si>
    <t>15181782</t>
  </si>
  <si>
    <t>ESCOLA MUNICIPAL JOAO NELSON RIBEIRO I</t>
  </si>
  <si>
    <t>TRAVESSA ANGUSTURA</t>
  </si>
  <si>
    <t>200</t>
  </si>
  <si>
    <t>PROXIMO A PRACA DO JAU SENADOR LEMOS E PEDRO ALVARES CABARLA</t>
  </si>
  <si>
    <t>66120230</t>
  </si>
  <si>
    <t>upnelsinho30@uotlook.com</t>
  </si>
  <si>
    <t>DECRETO N.º 113.732/2025 – PMB, DE 23 DE JUNHO DE 2025</t>
  </si>
  <si>
    <t>MARIANA VIEIRA DA SILVA</t>
  </si>
  <si>
    <t>15040941</t>
  </si>
  <si>
    <t>ESCOLA MUNICIPAL MARIA LUIZA PINTO AMARAL</t>
  </si>
  <si>
    <t>PASSAGEM MUCAJA PROXIMO A AVENIDA DR FREITAS</t>
  </si>
  <si>
    <t>marialuizapintoamaral@semec.belem.pa.gov.br</t>
  </si>
  <si>
    <t>049/2024 - CME, DE 11/12/2024</t>
  </si>
  <si>
    <t xml:space="preserve">DIENNE MARLY DE SOUZA PONTES </t>
  </si>
  <si>
    <t>0573388- 016</t>
  </si>
  <si>
    <t>CINTIA MARIA ALCOLUMBRE  NOGUEIRA BOUCAS</t>
  </si>
  <si>
    <t>1836595-015</t>
  </si>
  <si>
    <t>TELEGRAFO SEM FIO</t>
  </si>
  <si>
    <t>15174573</t>
  </si>
  <si>
    <t>ASSOCIACAO DE MORADORES DAS PASS SANTA RITA E JOANA DARC</t>
  </si>
  <si>
    <t>PASSAGEM SANTA RITA</t>
  </si>
  <si>
    <t>66115200</t>
  </si>
  <si>
    <t>04/2024 - CME, DE 21/02/2024</t>
  </si>
  <si>
    <t>15040852</t>
  </si>
  <si>
    <t>ESCOLA MUNICIPAL ALMERINDO TRINDADE</t>
  </si>
  <si>
    <t>RUA DO ACAMPAMENTO</t>
  </si>
  <si>
    <t>276</t>
  </si>
  <si>
    <t>ENTRE RUA NOVA E PASSAGEM SALDANHA MARINHO</t>
  </si>
  <si>
    <t>66083030</t>
  </si>
  <si>
    <t>almerindotrinidade@semec.belem.pa.gov.br</t>
  </si>
  <si>
    <t>16/2025 - CME, DE 17/06/2025</t>
  </si>
  <si>
    <t>WANESSA DA SILVA REBELO</t>
  </si>
  <si>
    <t>0348856- 016</t>
  </si>
  <si>
    <t>RONALDO MOREIRA BORGES</t>
  </si>
  <si>
    <t>1991361-014</t>
  </si>
  <si>
    <t>15040917</t>
  </si>
  <si>
    <t>ESCOLA MUNICIPAL JOAO NELSON RIBEIRO</t>
  </si>
  <si>
    <t>PASSAGEM DAS FLORES</t>
  </si>
  <si>
    <t>434</t>
  </si>
  <si>
    <t>66113420</t>
  </si>
  <si>
    <t>emef.joaonribeiro@semec.pmb.pa.gov.br</t>
  </si>
  <si>
    <t>28/2025 - CME, DE 21/10/2025</t>
  </si>
  <si>
    <t>MARISTELA DO SOCORRO SILVA DOS SANTOS</t>
  </si>
  <si>
    <t>SOLANGE MELO DE MOURA</t>
  </si>
  <si>
    <t>0054062-012</t>
  </si>
  <si>
    <t>15543226</t>
  </si>
  <si>
    <t>ESCOLA MUNICIPAL PERPETUO SOCORRO</t>
  </si>
  <si>
    <t>PASSAGEM BROTINHO</t>
  </si>
  <si>
    <t>PROX. IGREJA PERPETUO SOCORRO RODOVIA ARTHUR BERNARDES</t>
  </si>
  <si>
    <t>66115130</t>
  </si>
  <si>
    <t>perpetuosocorro@semec.belem.pa.gov.br</t>
  </si>
  <si>
    <t>PORTARIA Nº 554 / 2007 – PMB, DE 28 DE MAIO DE 2007</t>
  </si>
  <si>
    <t>48/2019 - CME, DE 04/09/2019</t>
  </si>
  <si>
    <t>GILVANA SOARES PINHEIRO GUERRA</t>
  </si>
  <si>
    <t>0462152- 030</t>
  </si>
  <si>
    <t>COUNTA de Nome da unidade</t>
  </si>
  <si>
    <t>Total geral</t>
  </si>
  <si>
    <t>AGUA BOA - OUTEIRO Total</t>
  </si>
  <si>
    <t>AGUAS LINDAS Total</t>
  </si>
  <si>
    <t>AGUAS NEGRAS - ICOARACI Total</t>
  </si>
  <si>
    <t>AGULHA - ICOARACI Total</t>
  </si>
  <si>
    <t>AREA RURAL DE BELEM Total</t>
  </si>
  <si>
    <t>ARIRAMBA - MOSQUEIRO Total</t>
  </si>
  <si>
    <t>AURA Total</t>
  </si>
  <si>
    <t>BAIA DO SOL - MOSQUEIRO Total</t>
  </si>
  <si>
    <t>BARREIRO Total</t>
  </si>
  <si>
    <t>BATISTA CAMPOS Total</t>
  </si>
  <si>
    <t>BENGUI Total</t>
  </si>
  <si>
    <t>BRASILIA - OUTEIRO Total</t>
  </si>
  <si>
    <t>CABANAGEM Total</t>
  </si>
  <si>
    <t>CAMPINA DE ICOARACI - ICOARACI Total</t>
  </si>
  <si>
    <t>CANUDOS Total</t>
  </si>
  <si>
    <t>CARANANDUBA - MOSQUEIRO Total</t>
  </si>
  <si>
    <t>CASTANHEIRA Total</t>
  </si>
  <si>
    <t>CHAPEU VIRADO - MOSQUEIRO Total</t>
  </si>
  <si>
    <t>CONDOR Total</t>
  </si>
  <si>
    <t>COQUEIRO Total</t>
  </si>
  <si>
    <t>COTIJUBA Total</t>
  </si>
  <si>
    <t>CREMACAO Total</t>
  </si>
  <si>
    <t>CRUZEIRO - ICOARACI Total</t>
  </si>
  <si>
    <t>CURIO-UTINGA Total</t>
  </si>
  <si>
    <t>FAROL - MOSQUEIRO Total</t>
  </si>
  <si>
    <t>FATIMA Total</t>
  </si>
  <si>
    <t>GUAMA Total</t>
  </si>
  <si>
    <t>ITAITEUA - OUTEIRO Total</t>
  </si>
  <si>
    <t>JURUNAS Total</t>
  </si>
  <si>
    <t>MANGUEIRAO Total</t>
  </si>
  <si>
    <t>MARACACUERA - ICOARACI Total</t>
  </si>
  <si>
    <t>MARACAJA - MOSQUEIRO Total</t>
  </si>
  <si>
    <t>MARACANGALHA Total</t>
  </si>
  <si>
    <t>MARAMBAIA Total</t>
  </si>
  <si>
    <t>MARCO Total</t>
  </si>
  <si>
    <t>NAZARE Total</t>
  </si>
  <si>
    <t>PARQUE GUAJARA - ICOARACI Total</t>
  </si>
  <si>
    <t>PARQUE VERDE Total</t>
  </si>
  <si>
    <t>PEDREIRA Total</t>
  </si>
  <si>
    <t>PONTA GROSSA - ICOARACI Total</t>
  </si>
  <si>
    <t>PRATINHA - ICOARACI Total</t>
  </si>
  <si>
    <t>SACRAMENTA Total</t>
  </si>
  <si>
    <t>SAO BRAS Total</t>
  </si>
  <si>
    <t>SAO CLEMENTE Total</t>
  </si>
  <si>
    <t>SAO FRANCISCO - MOSQUEIRO Total</t>
  </si>
  <si>
    <t>SAO JOAO DO OUTEIRO - OUTEIRO Total</t>
  </si>
  <si>
    <t>SOUZA Total</t>
  </si>
  <si>
    <t>SUCURIJUQUARA - MOSQUEIRO Total</t>
  </si>
  <si>
    <t>TAPANA - ICOARACI Total</t>
  </si>
  <si>
    <t>TELEGRAFO SEM FIO Total</t>
  </si>
  <si>
    <t>TENONE Total</t>
  </si>
  <si>
    <t>TERRA FIRME Total</t>
  </si>
  <si>
    <t>UNA Total</t>
  </si>
  <si>
    <t>VILA - MOSQUEIRO Total</t>
  </si>
  <si>
    <t>LISTA MESTRA — CHECKLIST DA DOCUMENTAÇÃO ESCOLAR</t>
  </si>
  <si>
    <t>Transcrição operacional integral dos 53 registros do Checklist da Coordenadoria de Documentação Escolar</t>
  </si>
  <si>
    <t>Os 41 itens técnicos recebem peso conforme a criticidade. Os 12 itens do Checklist da Visita têm natureza de síntese e peso zero, evitando a duplicação estatística dos mesmos controles.</t>
  </si>
  <si>
    <t>Código</t>
  </si>
  <si>
    <t>Seção do Checklist</t>
  </si>
  <si>
    <t>Documento/item de controle</t>
  </si>
  <si>
    <t>Evidência mínima</t>
  </si>
  <si>
    <t>Abrangência/periodicidade</t>
  </si>
  <si>
    <t>Criticidade</t>
  </si>
  <si>
    <t>Peso</t>
  </si>
  <si>
    <t>Origem no Checklist</t>
  </si>
  <si>
    <t>Responsável primário</t>
  </si>
  <si>
    <t>Orientação de conferência</t>
  </si>
  <si>
    <t>INS-01</t>
  </si>
  <si>
    <t>1. Documentos institucionais</t>
  </si>
  <si>
    <t>Ato de criação da escola</t>
  </si>
  <si>
    <t>Ato integral, legível e disponível para conferência.</t>
  </si>
  <si>
    <t>Vigência e anterior</t>
  </si>
  <si>
    <t>Crítica</t>
  </si>
  <si>
    <t>Checklist CDE — item 1.1</t>
  </si>
  <si>
    <t>Gestão/Secretaria</t>
  </si>
  <si>
    <t>Conferir número, data, órgão emissor e denominação da unidade.</t>
  </si>
  <si>
    <t>INS-02</t>
  </si>
  <si>
    <t>Recibo do Censo Escolar (Autorização)</t>
  </si>
  <si>
    <t>Recibo do Censo Escolar e comprovantes correspondentes.</t>
  </si>
  <si>
    <t>Alta</t>
  </si>
  <si>
    <t>Checklist CDE — item 1.2</t>
  </si>
  <si>
    <t>Secretaria</t>
  </si>
  <si>
    <t>Conciliar o recibo com o período, as matrículas, turmas e etapas declaradas.</t>
  </si>
  <si>
    <t>INS-03</t>
  </si>
  <si>
    <t>Ato de autorização, credenciamento ou reconhecimento</t>
  </si>
  <si>
    <t>Ato completo, vigente e compatível com as etapas/modalidades ofertadas.</t>
  </si>
  <si>
    <t>Checklist CDE — item 1.3</t>
  </si>
  <si>
    <t>Gestão</t>
  </si>
  <si>
    <t>Conferir número, data, vigência, órgão emissor e abrangência.</t>
  </si>
  <si>
    <t>INS-04</t>
  </si>
  <si>
    <t>Regimento Escolar atualizado</t>
  </si>
  <si>
    <t>Versão atualizada, aprovada, datada e disponível.</t>
  </si>
  <si>
    <t>Checklist CDE — item 1.4</t>
  </si>
  <si>
    <t>Verificar aprovação, atualização e coerência com a organização escolar.</t>
  </si>
  <si>
    <t>INS-05</t>
  </si>
  <si>
    <t>Projeto Político-Pedagógico (PPP)</t>
  </si>
  <si>
    <t>PPP atualizado, aprovado e disponível.</t>
  </si>
  <si>
    <t>Checklist CDE — item 1.5</t>
  </si>
  <si>
    <t>Gestão/Coordenação</t>
  </si>
  <si>
    <t>Conferir diagnóstico, objetivos, organização pedagógica, metas e atualização.</t>
  </si>
  <si>
    <t>INS-06</t>
  </si>
  <si>
    <t>Calendário Escolar vigente</t>
  </si>
  <si>
    <t>Calendário acessível no SIGA: Administração &gt; Calendário Escolar &gt; Acessar Calendário.</t>
  </si>
  <si>
    <t>Checklist CDE — item 1.6</t>
  </si>
  <si>
    <t>Conferir aprovação, dias letivos, carga horária e eventuais reposições.</t>
  </si>
  <si>
    <t>INS-07</t>
  </si>
  <si>
    <t>Matriz curricular, inclusive cursos técnicos</t>
  </si>
  <si>
    <t>Matriz vigente por etapa/modalidade, com componentes e cargas horárias.</t>
  </si>
  <si>
    <t>Checklist CDE — item 1.7</t>
  </si>
  <si>
    <t>Coordenação/Secretaria</t>
  </si>
  <si>
    <t>Conciliar com horários, diários, resultados e documentos expedidos.</t>
  </si>
  <si>
    <t>SEC-01</t>
  </si>
  <si>
    <t>2. Secretaria escolar</t>
  </si>
  <si>
    <t>Livro de Matrícula</t>
  </si>
  <si>
    <t>Livro completo, atualizado e com termos de abertura e encerramento.</t>
  </si>
  <si>
    <t>Checklist CDE — item 2.1</t>
  </si>
  <si>
    <t>Conciliar com fichas de matrícula, turmas e sistema informatizado.</t>
  </si>
  <si>
    <t>SEC-02</t>
  </si>
  <si>
    <t>Livro de Atas — resultados finais, Conselho de Classe, reuniões e outros</t>
  </si>
  <si>
    <t>Livros completos, sequenciais, datados e assinados.</t>
  </si>
  <si>
    <t>Checklist CDE — item 2.2</t>
  </si>
  <si>
    <t>Verificar resultados, deliberações, participantes, datas e assinaturas.</t>
  </si>
  <si>
    <t>SEC-03</t>
  </si>
  <si>
    <t>Livro de Registro de Diplomas e Certificados, quando aplicável</t>
  </si>
  <si>
    <t>Registro sequencial, íntegro e rastreável dos documentos expedidos.</t>
  </si>
  <si>
    <t>Checklist CDE — item 2.3</t>
  </si>
  <si>
    <t>Conciliar numeração, estudante, curso, data e documento arquivado.</t>
  </si>
  <si>
    <t>SEC-04</t>
  </si>
  <si>
    <t>Protocolos de entrada e saída de documentos</t>
  </si>
  <si>
    <t>Registros cronológicos de recebimento, tramitação e entrega.</t>
  </si>
  <si>
    <t>Checklist CDE — item 2.4</t>
  </si>
  <si>
    <t>Conferir número, data, interessado, assunto, destino e recebimento.</t>
  </si>
  <si>
    <t>SEC-05</t>
  </si>
  <si>
    <t>Arquivo ativo e arquivo permanente organizados</t>
  </si>
  <si>
    <t>Pastas classificadas, preservadas, localizáveis e com acesso controlado.</t>
  </si>
  <si>
    <t>Checklist CDE — item 2.5</t>
  </si>
  <si>
    <t>Verificar integridade, ordenação, conservação, índice e proteção dos dados.</t>
  </si>
  <si>
    <t>SEC-06</t>
  </si>
  <si>
    <t>Relação nominal dos estudantes</t>
  </si>
  <si>
    <t>Relação atualizada por turma, etapa, turno e situação.</t>
  </si>
  <si>
    <t>Checklist CDE — item 2.6</t>
  </si>
  <si>
    <t>Conciliar com matrícula, frequência, movimento e sistema.</t>
  </si>
  <si>
    <t>SEC-07</t>
  </si>
  <si>
    <t>Correspondências Oficiais</t>
  </si>
  <si>
    <t>Arquivo de expedientes oficiais, com numeração e comprovantes.</t>
  </si>
  <si>
    <t>Moderada</t>
  </si>
  <si>
    <t>Checklist CDE — item 2.7</t>
  </si>
  <si>
    <t>Verificar classificação, data, assunto, tramitação e resposta.</t>
  </si>
  <si>
    <t>SEC-08</t>
  </si>
  <si>
    <t>Inventário</t>
  </si>
  <si>
    <t>Inventário atualizado dos bens e do acervo documental.</t>
  </si>
  <si>
    <t>Checklist CDE — item 2.8</t>
  </si>
  <si>
    <t>Conferir localização, responsabilidade, atualização e termos pertinentes.</t>
  </si>
  <si>
    <t>EST-01</t>
  </si>
  <si>
    <t>3. Documentação dos estudantes</t>
  </si>
  <si>
    <t>Fichas de matrícula impressas pelo SIGA e assinadas pelo responsável</t>
  </si>
  <si>
    <t>Fichas completas, impressas e assinadas pelo responsável.</t>
  </si>
  <si>
    <t>Situação atual</t>
  </si>
  <si>
    <t>Checklist CDE — item 3.1; Portaria nº 2.905/2025, art. 17</t>
  </si>
  <si>
    <t>Conferir identificação, etapa, turma, turno, responsáveis, data e assinatura.</t>
  </si>
  <si>
    <t>EST-02</t>
  </si>
  <si>
    <t>Histórico Escolar</t>
  </si>
  <si>
    <t>Históricos completos, legíveis, organizados e assinados.</t>
  </si>
  <si>
    <t>Por estudante/emissão</t>
  </si>
  <si>
    <t>Checklist CDE — item 3.2</t>
  </si>
  <si>
    <t>Conciliar trajetória, resultados e cargas horárias com atas, fichas e sistema.</t>
  </si>
  <si>
    <t>EST-03</t>
  </si>
  <si>
    <t>Ficha Individual</t>
  </si>
  <si>
    <t>Registro individual atualizado de resultados, frequência e situação escolar.</t>
  </si>
  <si>
    <t>Anual</t>
  </si>
  <si>
    <t>Checklist CDE — item 3.3</t>
  </si>
  <si>
    <t>Conciliar com diário de classe, ata de resultados e histórico.</t>
  </si>
  <si>
    <t>EST-04</t>
  </si>
  <si>
    <t>Registro Síntese</t>
  </si>
  <si>
    <t>Registro Síntese preenchido conforme a Resolução CME nº 040/2011.</t>
  </si>
  <si>
    <t>Checklist CDE — item 3.4; Resolução CME nº 040/2011</t>
  </si>
  <si>
    <t>Verificar preenchimento integral e coerência com os demais registros.</t>
  </si>
  <si>
    <t>EST-05</t>
  </si>
  <si>
    <t>Declarações de transferência emitidas pelo SIGA</t>
  </si>
  <si>
    <t>Declarações emitidas e protocoladas pelo sistema.</t>
  </si>
  <si>
    <t>Por ocorrência</t>
  </si>
  <si>
    <t>Checklist CDE — item 3.5</t>
  </si>
  <si>
    <t>Conferir data, destino, situação da matrícula e posterior expedição do histórico.</t>
  </si>
  <si>
    <t>EST-06</t>
  </si>
  <si>
    <t>Certificados e declarações emitidos</t>
  </si>
  <si>
    <t>Cópia ou registro dos documentos expedidos, com identificação e assinaturas.</t>
  </si>
  <si>
    <t>Por emissão</t>
  </si>
  <si>
    <t>Checklist CDE — item 3.6</t>
  </si>
  <si>
    <t>Verificar conteúdo, numeração, data, legitimidade e rastreabilidade.</t>
  </si>
  <si>
    <t>EST-07</t>
  </si>
  <si>
    <t>Documentos pessoais do aluno e do responsável</t>
  </si>
  <si>
    <t>Documentação necessária, legível e protegida no prontuário.</t>
  </si>
  <si>
    <t>Por matrícula</t>
  </si>
  <si>
    <t>Checklist CDE — item 3.7</t>
  </si>
  <si>
    <t>Conferir completude, legibilidade, atualização e acesso restrito.</t>
  </si>
  <si>
    <t>EST-08</t>
  </si>
  <si>
    <t>Ficha de Cancelamento/Transferência de Matrícula</t>
  </si>
  <si>
    <t>Ficha preenchida com motivo, data, destino e ciência do responsável.</t>
  </si>
  <si>
    <t>Checklist CDE — item 3.8</t>
  </si>
  <si>
    <t>Conciliar com SIGA, frequência, protocolo e arquivo individual.</t>
  </si>
  <si>
    <t>EST-09</t>
  </si>
  <si>
    <t>Controle de frequência no SIGA</t>
  </si>
  <si>
    <t>Frequência atualizada no SIGA e compatível com os registros pedagógicos.</t>
  </si>
  <si>
    <t>Diária/Mensal</t>
  </si>
  <si>
    <t>Checklist CDE — item 3.9</t>
  </si>
  <si>
    <t>Docência/Secretaria</t>
  </si>
  <si>
    <t>Verificar lançamentos, percentuais, justificativas e medidas de acompanhamento.</t>
  </si>
  <si>
    <t>SER-01</t>
  </si>
  <si>
    <t>4. Documentação dos servidores</t>
  </si>
  <si>
    <t>Relação atualizada dos profissionais</t>
  </si>
  <si>
    <t>Relação nominal com função, vínculo, lotação, carga horária e turno.</t>
  </si>
  <si>
    <t>Mensal</t>
  </si>
  <si>
    <t>Checklist CDE — item 4.1</t>
  </si>
  <si>
    <t>Conciliar com exercício real, frequência e atos funcionais.</t>
  </si>
  <si>
    <t>SER-02</t>
  </si>
  <si>
    <t>Portarias de lotação ou designação</t>
  </si>
  <si>
    <t>Atos funcionais correspondentes à atuação de cada servidor.</t>
  </si>
  <si>
    <t>Por movimentação</t>
  </si>
  <si>
    <t>Checklist CDE — item 4.2</t>
  </si>
  <si>
    <t>Conferir vigência, função, unidade, carga horária e compatibilidade.</t>
  </si>
  <si>
    <t>SER-03</t>
  </si>
  <si>
    <t>Comprovação da habilitação dos docentes</t>
  </si>
  <si>
    <t>Diplomas, certificados e documentos de habilitação disponíveis.</t>
  </si>
  <si>
    <t>Por ingresso/alteração</t>
  </si>
  <si>
    <t>Checklist CDE — item 4.3</t>
  </si>
  <si>
    <t>Conferir formação e adequação à etapa, área ou componente de atuação.</t>
  </si>
  <si>
    <t>SER-04</t>
  </si>
  <si>
    <t>Controle de frequência dos servidores</t>
  </si>
  <si>
    <t>Folhas, sistemas ou controles de frequência devidamente validados.</t>
  </si>
  <si>
    <t>Checklist CDE — item 4.4</t>
  </si>
  <si>
    <t>Conciliar jornada, exercício, substituições, faltas e compensações.</t>
  </si>
  <si>
    <t>SER-05</t>
  </si>
  <si>
    <t>Afastamentos dos servidores — licenças e documentos médicos</t>
  </si>
  <si>
    <t>Registros e atos de afastamento organizados e atualizados.</t>
  </si>
  <si>
    <t>Checklist CDE — item 4.5</t>
  </si>
  <si>
    <t>Conferir período, fundamento, autorização e cobertura do atendimento.</t>
  </si>
  <si>
    <t>ADM-01</t>
  </si>
  <si>
    <t>5. Documentos administrativos</t>
  </si>
  <si>
    <t>Censo Escolar</t>
  </si>
  <si>
    <t>Dados declarados e documentos comprobatórios do Censo Escolar.</t>
  </si>
  <si>
    <t>Checklist CDE — item 5.1</t>
  </si>
  <si>
    <t>Conciliar matrículas, turmas, profissionais, rendimento e movimento.</t>
  </si>
  <si>
    <t>ADM-02</t>
  </si>
  <si>
    <t>Relação administrativa atualizada e conciliada com o sistema.</t>
  </si>
  <si>
    <t>Checklist CDE — item 5.2</t>
  </si>
  <si>
    <t>Verificar turma, etapa, turno e situação de cada estudante.</t>
  </si>
  <si>
    <t>ADM-03</t>
  </si>
  <si>
    <t>Relatórios estatísticos</t>
  </si>
  <si>
    <t>Relatórios de matrícula, movimento, frequência, rendimento e conclusão.</t>
  </si>
  <si>
    <t>Mensal/Anual</t>
  </si>
  <si>
    <t>Checklist CDE — item 5.3</t>
  </si>
  <si>
    <t>Conferir fonte, período, totalizadores e consistência entre relatórios.</t>
  </si>
  <si>
    <t>ADM-04</t>
  </si>
  <si>
    <t>Correspondências oficiais</t>
  </si>
  <si>
    <t>Arquivo administrativo de correspondências expedidas e recebidas.</t>
  </si>
  <si>
    <t>Contínua</t>
  </si>
  <si>
    <t>Checklist CDE — item 5.4</t>
  </si>
  <si>
    <t>Verificar numeração, data, assunto, destinatário e tramitação.</t>
  </si>
  <si>
    <t>ADM-05</t>
  </si>
  <si>
    <t>Livros de protocolo</t>
  </si>
  <si>
    <t>Livros físicos ou registros digitais com sequência e integridade.</t>
  </si>
  <si>
    <t>Checklist CDE — item 5.5</t>
  </si>
  <si>
    <t>Conferir abertura, numeração, registros, encerramento e ausência de lacunas.</t>
  </si>
  <si>
    <t>VER-01</t>
  </si>
  <si>
    <t>6. Itens verificados pela CDE</t>
  </si>
  <si>
    <t>Organização e conservação dos arquivos</t>
  </si>
  <si>
    <t>Acervo classificado e protegido contra perda, umidade, pragas e acesso indevido.</t>
  </si>
  <si>
    <t>Semestral</t>
  </si>
  <si>
    <t>Checklist CDE — item 6.1</t>
  </si>
  <si>
    <t>Inspecionar ambiente, acondicionamento, segurança, acesso e preservação.</t>
  </si>
  <si>
    <t>VER-02</t>
  </si>
  <si>
    <t>Correção no preenchimento dos livros oficiais</t>
  </si>
  <si>
    <t>Livros completos, legíveis, sem lacunas ou rasuras indevidas.</t>
  </si>
  <si>
    <t>Checklist CDE — item 6.2</t>
  </si>
  <si>
    <t>Conferir termos, sequência, correções, datas e assinaturas.</t>
  </si>
  <si>
    <t>VER-03</t>
  </si>
  <si>
    <t>Compatibilidade entre diários, atas, históricos e sistema informatizado</t>
  </si>
  <si>
    <t>Resultados, frequência e trajetória coincidentes entre todas as fontes.</t>
  </si>
  <si>
    <t>Bimestral/Anual</t>
  </si>
  <si>
    <t>Checklist CDE — item 6.3</t>
  </si>
  <si>
    <t>Secretaria/Coordenação</t>
  </si>
  <si>
    <t>Aplicar amostragem nominal e registrar todas as divergências.</t>
  </si>
  <si>
    <t>VER-04</t>
  </si>
  <si>
    <t>Assinaturas e autenticações obrigatórias</t>
  </si>
  <si>
    <t>Documentos contêm as assinaturas e autenticações exigidas.</t>
  </si>
  <si>
    <t>Checklist CDE — item 6.4</t>
  </si>
  <si>
    <t>Conferir identificação, competência do signatário e integridade do documento.</t>
  </si>
  <si>
    <t>VER-05</t>
  </si>
  <si>
    <t>Cumprimento da carga horária e dos dias letivos</t>
  </si>
  <si>
    <t>Calendário, horários e registros comprovam o cumprimento integral.</t>
  </si>
  <si>
    <t>Checklist CDE — item 6.5</t>
  </si>
  <si>
    <t>Conciliar calendário, matriz, horários, diários e atas finais.</t>
  </si>
  <si>
    <t>VER-06</t>
  </si>
  <si>
    <t>Emissão correta de históricos, declarações e certificados</t>
  </si>
  <si>
    <t>Documentos expedidos atendem aos modelos, dados, registros e prazos.</t>
  </si>
  <si>
    <t>Checklist CDE — item 6.6</t>
  </si>
  <si>
    <t>Realizar dupla conferência antes da entrega e manter registro da emissão.</t>
  </si>
  <si>
    <t>VER-07</t>
  </si>
  <si>
    <t>Cumprimento das normas do Conselho Estadual ou Municipal de Educação</t>
  </si>
  <si>
    <t>Procedimentos e registros aderentes às normas aplicáveis.</t>
  </si>
  <si>
    <t>Checklist CDE — item 6.7</t>
  </si>
  <si>
    <t>Manter normas atualizadas e registrar orientações e providências.</t>
  </si>
  <si>
    <t>VIS-01</t>
  </si>
  <si>
    <t>7. Checklist da visita</t>
  </si>
  <si>
    <t>Síntese de conferência da visita.</t>
  </si>
  <si>
    <t>Na visita</t>
  </si>
  <si>
    <t>Síntese</t>
  </si>
  <si>
    <t>Checklist para a visita — item 1</t>
  </si>
  <si>
    <t>Equipe de visita</t>
  </si>
  <si>
    <t>Marcar a situação após a verificação detalhada correspondente.</t>
  </si>
  <si>
    <t>VIS-02</t>
  </si>
  <si>
    <t>PPP atualizado</t>
  </si>
  <si>
    <t>Checklist para a visita — item 2</t>
  </si>
  <si>
    <t>VIS-03</t>
  </si>
  <si>
    <t>Calendário Escolar aprovado</t>
  </si>
  <si>
    <t>Checklist para a visita — item 3</t>
  </si>
  <si>
    <t>VIS-04</t>
  </si>
  <si>
    <t>Livros oficiais completos e assinados</t>
  </si>
  <si>
    <t>Checklist para a visita — item 4</t>
  </si>
  <si>
    <t>Consolidar a conferência dos livros oficiais e assinaturas.</t>
  </si>
  <si>
    <t>VIS-05</t>
  </si>
  <si>
    <t>Diários de Classe atualizados</t>
  </si>
  <si>
    <t>Diários disponíveis, atualizados e assinados.</t>
  </si>
  <si>
    <t>Checklist para a visita — item 5</t>
  </si>
  <si>
    <t>Conferir frequência, conteúdos, avaliações, carga horária e atualização.</t>
  </si>
  <si>
    <t>VIS-06</t>
  </si>
  <si>
    <t>Atas de resultados finais e conselhos</t>
  </si>
  <si>
    <t>Checklist para a visita — item 6</t>
  </si>
  <si>
    <t>Conferir completude, datas, resultados, deliberações e assinaturas.</t>
  </si>
  <si>
    <t>VIS-07</t>
  </si>
  <si>
    <t>Históricos escolares organizados</t>
  </si>
  <si>
    <t>Checklist para a visita — item 7</t>
  </si>
  <si>
    <t>Conferir organização, integridade, atualização e localização.</t>
  </si>
  <si>
    <t>VIS-08</t>
  </si>
  <si>
    <t>Fichas de matrícula completas</t>
  </si>
  <si>
    <t>Checklist para a visita — item 8</t>
  </si>
  <si>
    <t>Conferir preenchimento, documentos anexos e assinatura do responsável.</t>
  </si>
  <si>
    <t>VIS-09</t>
  </si>
  <si>
    <t>Arquivo ativo e permanente organizado</t>
  </si>
  <si>
    <t>Checklist para a visita — item 9</t>
  </si>
  <si>
    <t>Conferir classificação, conservação, acesso e localização.</t>
  </si>
  <si>
    <t>VIS-10</t>
  </si>
  <si>
    <t>Relação de alunos e servidores atualizada</t>
  </si>
  <si>
    <t>Checklist para a visita — item 10</t>
  </si>
  <si>
    <t>Conciliar relações nominais com sistema, turmas e exercício.</t>
  </si>
  <si>
    <t>VIS-11</t>
  </si>
  <si>
    <t>Documentação legal da escola disponível</t>
  </si>
  <si>
    <t>Checklist para a visita — item 11</t>
  </si>
  <si>
    <t>Confirmar disponibilidade dos atos e documentos institucionais.</t>
  </si>
  <si>
    <t>VIS-12</t>
  </si>
  <si>
    <t>Dados do Censo Escolar conferidos</t>
  </si>
  <si>
    <t>Checklist para a visita — item 12</t>
  </si>
  <si>
    <t>Conciliar dados declarados com os registros escolares.</t>
  </si>
  <si>
    <t>PLANO DE AUDITORIA DOCUMENTAL</t>
  </si>
  <si>
    <t>Programação, execução e consolidação das verificações por unidade educacional</t>
  </si>
  <si>
    <t>ID auditoria</t>
  </si>
  <si>
    <t>Unidade</t>
  </si>
  <si>
    <t>Tipo de verificação</t>
  </si>
  <si>
    <t>Prioridade</t>
  </si>
  <si>
    <t>Data planejada</t>
  </si>
  <si>
    <t>Data realizada</t>
  </si>
  <si>
    <t>Auditor(a)/equipe</t>
  </si>
  <si>
    <t>Itens previstos</t>
  </si>
  <si>
    <t>Itens avaliados</t>
  </si>
  <si>
    <t>Índice ponderado</t>
  </si>
  <si>
    <t>NC críticas</t>
  </si>
  <si>
    <t>Checklist da visita concluído</t>
  </si>
  <si>
    <t>Observações</t>
  </si>
  <si>
    <t>AUD-001</t>
  </si>
  <si>
    <t>Acompanhamento de pendências</t>
  </si>
  <si>
    <t>Planejada</t>
  </si>
  <si>
    <t>AUD-002</t>
  </si>
  <si>
    <t>AUD-003</t>
  </si>
  <si>
    <t>AUD-004</t>
  </si>
  <si>
    <t>AUD-005</t>
  </si>
  <si>
    <t>AUD-006</t>
  </si>
  <si>
    <t>AUD-007</t>
  </si>
  <si>
    <t>AUD-008</t>
  </si>
  <si>
    <t>AUD-009</t>
  </si>
  <si>
    <t>AUD-010</t>
  </si>
  <si>
    <t>AUD-011</t>
  </si>
  <si>
    <t>AUD-012</t>
  </si>
  <si>
    <t>AUD-013</t>
  </si>
  <si>
    <t>AUD-014</t>
  </si>
  <si>
    <t>AUD-015</t>
  </si>
  <si>
    <t>AUD-016</t>
  </si>
  <si>
    <t>AUD-017</t>
  </si>
  <si>
    <t>AUD-018</t>
  </si>
  <si>
    <t>AUD-019</t>
  </si>
  <si>
    <t>AUD-020</t>
  </si>
  <si>
    <t>AUD-021</t>
  </si>
  <si>
    <t>AUD-022</t>
  </si>
  <si>
    <t>AUD-023</t>
  </si>
  <si>
    <t>AUD-024</t>
  </si>
  <si>
    <t>AUD-025</t>
  </si>
  <si>
    <t>AUD-026</t>
  </si>
  <si>
    <t>AUD-027</t>
  </si>
  <si>
    <t>AUD-028</t>
  </si>
  <si>
    <t>AUD-029</t>
  </si>
  <si>
    <t>AUD-030</t>
  </si>
  <si>
    <t>AUD-031</t>
  </si>
  <si>
    <t>AUD-032</t>
  </si>
  <si>
    <t>AUD-033</t>
  </si>
  <si>
    <t>AUD-034</t>
  </si>
  <si>
    <t>AUD-035</t>
  </si>
  <si>
    <t>AUD-036</t>
  </si>
  <si>
    <t>AUD-037</t>
  </si>
  <si>
    <t>AUD-038</t>
  </si>
  <si>
    <t>AUD-039</t>
  </si>
  <si>
    <t>AUD-040</t>
  </si>
  <si>
    <t>AUD-041</t>
  </si>
  <si>
    <t>AUD-042</t>
  </si>
  <si>
    <t>AUD-043</t>
  </si>
  <si>
    <t>AUD-044</t>
  </si>
  <si>
    <t>AUD-045</t>
  </si>
  <si>
    <t>AUD-046</t>
  </si>
  <si>
    <t>AUD-047</t>
  </si>
  <si>
    <t>AUD-048</t>
  </si>
  <si>
    <t>AUD-049</t>
  </si>
  <si>
    <t>AUD-050</t>
  </si>
  <si>
    <t>AUD-051</t>
  </si>
  <si>
    <t>AUD-052</t>
  </si>
  <si>
    <t>AUD-053</t>
  </si>
  <si>
    <t>AUD-054</t>
  </si>
  <si>
    <t>AUD-055</t>
  </si>
  <si>
    <t>AUD-056</t>
  </si>
  <si>
    <t>AUD-057</t>
  </si>
  <si>
    <t>AUD-058</t>
  </si>
  <si>
    <t>AUD-059</t>
  </si>
  <si>
    <t>AUD-060</t>
  </si>
  <si>
    <t>AUD-061</t>
  </si>
  <si>
    <t>AUD-062</t>
  </si>
  <si>
    <t>AUD-063</t>
  </si>
  <si>
    <t>AUD-064</t>
  </si>
  <si>
    <t>AUD-065</t>
  </si>
  <si>
    <t>AUD-066</t>
  </si>
  <si>
    <t>AUD-067</t>
  </si>
  <si>
    <t>AUD-068</t>
  </si>
  <si>
    <t>AUD-069</t>
  </si>
  <si>
    <t>AUD-070</t>
  </si>
  <si>
    <t>AUD-071</t>
  </si>
  <si>
    <t>AUD-072</t>
  </si>
  <si>
    <t>AUD-073</t>
  </si>
  <si>
    <t>AUD-074</t>
  </si>
  <si>
    <t>AUD-075</t>
  </si>
  <si>
    <t>AUD-076</t>
  </si>
  <si>
    <t>AUD-077</t>
  </si>
  <si>
    <t>AUD-078</t>
  </si>
  <si>
    <t>AUD-079</t>
  </si>
  <si>
    <t>AUD-080</t>
  </si>
  <si>
    <t>AUD-081</t>
  </si>
  <si>
    <t>AUD-082</t>
  </si>
  <si>
    <t>AUD-083</t>
  </si>
  <si>
    <t>AUD-084</t>
  </si>
  <si>
    <t>AUD-085</t>
  </si>
  <si>
    <t>AUD-086</t>
  </si>
  <si>
    <t>AUD-087</t>
  </si>
  <si>
    <t>AUD-088</t>
  </si>
  <si>
    <t>AUD-089</t>
  </si>
  <si>
    <t>AUD-090</t>
  </si>
  <si>
    <t>AUD-091</t>
  </si>
  <si>
    <t>AUD-092</t>
  </si>
  <si>
    <t>AUD-093</t>
  </si>
  <si>
    <t>AUD-094</t>
  </si>
  <si>
    <t>AUD-095</t>
  </si>
  <si>
    <t>AUD-096</t>
  </si>
  <si>
    <t>AUD-097</t>
  </si>
  <si>
    <t>AUD-098</t>
  </si>
  <si>
    <t>AUD-099</t>
  </si>
  <si>
    <t>AUD-100</t>
  </si>
  <si>
    <t>AUD-101</t>
  </si>
  <si>
    <t>AUD-102</t>
  </si>
  <si>
    <t>AUD-103</t>
  </si>
  <si>
    <t>AUD-104</t>
  </si>
  <si>
    <t>AUD-105</t>
  </si>
  <si>
    <t>AUD-106</t>
  </si>
  <si>
    <t>AUD-107</t>
  </si>
  <si>
    <t>AUD-108</t>
  </si>
  <si>
    <t>AUD-109</t>
  </si>
  <si>
    <t>AUD-110</t>
  </si>
  <si>
    <t>AUD-111</t>
  </si>
  <si>
    <t>AUD-112</t>
  </si>
  <si>
    <t>AUD-113</t>
  </si>
  <si>
    <t>AUD-114</t>
  </si>
  <si>
    <t>AUD-115</t>
  </si>
  <si>
    <t>AUD-116</t>
  </si>
  <si>
    <t>AUD-117</t>
  </si>
  <si>
    <t>AUD-118</t>
  </si>
  <si>
    <t>AUD-119</t>
  </si>
  <si>
    <t>AUD-120</t>
  </si>
  <si>
    <t>AUD-121</t>
  </si>
  <si>
    <t>AUD-122</t>
  </si>
  <si>
    <t>AUD-123</t>
  </si>
  <si>
    <t>AUD-124</t>
  </si>
  <si>
    <t>AUD-125</t>
  </si>
  <si>
    <t>AUD-126</t>
  </si>
  <si>
    <t>AUD-127</t>
  </si>
  <si>
    <t>AUD-128</t>
  </si>
  <si>
    <t>AUD-129</t>
  </si>
  <si>
    <t>AUD-130</t>
  </si>
  <si>
    <t>AUD-131</t>
  </si>
  <si>
    <t>AUD-132</t>
  </si>
  <si>
    <t>AUD-133</t>
  </si>
  <si>
    <t>AUD-134</t>
  </si>
  <si>
    <t>AUD-135</t>
  </si>
  <si>
    <t>AUD-136</t>
  </si>
  <si>
    <t>AUD-137</t>
  </si>
  <si>
    <t>AUD-138</t>
  </si>
  <si>
    <t>AUD-139</t>
  </si>
  <si>
    <t>AUD-140</t>
  </si>
  <si>
    <t>AUD-141</t>
  </si>
  <si>
    <t>AUD-142</t>
  </si>
  <si>
    <t>AUD-143</t>
  </si>
  <si>
    <t>AUD-144</t>
  </si>
  <si>
    <t>AUD-145</t>
  </si>
  <si>
    <t>AUD-146</t>
  </si>
  <si>
    <t>AUD-147</t>
  </si>
  <si>
    <t>AUD-148</t>
  </si>
  <si>
    <t>AUD-149</t>
  </si>
  <si>
    <t>AUD-150</t>
  </si>
  <si>
    <t>AUD-151</t>
  </si>
  <si>
    <t>AUD-152</t>
  </si>
  <si>
    <t>AUD-153</t>
  </si>
  <si>
    <t>AUD-154</t>
  </si>
  <si>
    <t>AUD-155</t>
  </si>
  <si>
    <t>AUD-156</t>
  </si>
  <si>
    <t>AUD-157</t>
  </si>
  <si>
    <t>AUD-158</t>
  </si>
  <si>
    <t>AUD-159</t>
  </si>
  <si>
    <t>AUD-160</t>
  </si>
  <si>
    <t>AUD-161</t>
  </si>
  <si>
    <t>AUD-162</t>
  </si>
  <si>
    <t>AUD-163</t>
  </si>
  <si>
    <t>AUD-164</t>
  </si>
  <si>
    <t>AUD-165</t>
  </si>
  <si>
    <t>AUD-166</t>
  </si>
  <si>
    <t>AUD-167</t>
  </si>
  <si>
    <t>AUD-168</t>
  </si>
  <si>
    <t>AUD-169</t>
  </si>
  <si>
    <t>AUD-170</t>
  </si>
  <si>
    <t>AUD-171</t>
  </si>
  <si>
    <t>AUD-172</t>
  </si>
  <si>
    <t>AUD-173</t>
  </si>
  <si>
    <t>AUD-174</t>
  </si>
  <si>
    <t>AUD-175</t>
  </si>
  <si>
    <t>AUD-176</t>
  </si>
  <si>
    <t>AUD-177</t>
  </si>
  <si>
    <t>AUD-178</t>
  </si>
  <si>
    <t>AUD-179</t>
  </si>
  <si>
    <t>AUD-180</t>
  </si>
  <si>
    <t>AUD-181</t>
  </si>
  <si>
    <t>AUD-182</t>
  </si>
  <si>
    <t>AUD-183</t>
  </si>
  <si>
    <t>AUD-184</t>
  </si>
  <si>
    <t>AUD-185</t>
  </si>
  <si>
    <t>AUD-186</t>
  </si>
  <si>
    <t>AUD-187</t>
  </si>
  <si>
    <t>AUD-188</t>
  </si>
  <si>
    <t>AUD-189</t>
  </si>
  <si>
    <t>AUD-190</t>
  </si>
  <si>
    <t>AUD-191</t>
  </si>
  <si>
    <t>AUD-192</t>
  </si>
  <si>
    <t>AUD-193</t>
  </si>
  <si>
    <t>AUD-194</t>
  </si>
  <si>
    <t>AUD-195</t>
  </si>
  <si>
    <t>AUD-196</t>
  </si>
  <si>
    <t>AUD-197</t>
  </si>
  <si>
    <t>AUD-198</t>
  </si>
  <si>
    <t>AUD-199</t>
  </si>
  <si>
    <t>AUD-200</t>
  </si>
  <si>
    <t>AUD-201</t>
  </si>
  <si>
    <t>AUD-202</t>
  </si>
  <si>
    <t>AUD-203</t>
  </si>
  <si>
    <t>AUD-204</t>
  </si>
  <si>
    <t>AUD-205</t>
  </si>
  <si>
    <t>AUD-206</t>
  </si>
  <si>
    <t>AUD-207</t>
  </si>
  <si>
    <t>AUD-208</t>
  </si>
  <si>
    <t>AUD-209</t>
  </si>
  <si>
    <t>AUD-210</t>
  </si>
  <si>
    <t>AUD-211</t>
  </si>
  <si>
    <t>AUD-212</t>
  </si>
  <si>
    <t>AUD-213</t>
  </si>
  <si>
    <t>AUD-214</t>
  </si>
  <si>
    <t>AUD-215</t>
  </si>
  <si>
    <t>AUD-216</t>
  </si>
  <si>
    <t>AUD-217</t>
  </si>
  <si>
    <t>AUDITORIA DOCUMENTAL — CHECKLIST INTEGRAL</t>
  </si>
  <si>
    <t>Matriz de avaliação dos 53 registros do Checklist da CDE, com evidências, achados, pontuação e encaminhamento corretivo</t>
  </si>
  <si>
    <t>Preencha o Plano de Auditoria e classifique todos os itens do bloco AUD-0001. Para uma nova unidade, copie o bloco completo, altere o ID e ajuste o vínculo ao registro correspondente do plano.</t>
  </si>
  <si>
    <t>Data</t>
  </si>
  <si>
    <t>Auditor(a)</t>
  </si>
  <si>
    <t>Documento/item</t>
  </si>
  <si>
    <t>Evidência esperada</t>
  </si>
  <si>
    <t>Evidência/localização</t>
  </si>
  <si>
    <t>Peso aplicável</t>
  </si>
  <si>
    <t>Pontos</t>
  </si>
  <si>
    <t>Índice do item</t>
  </si>
  <si>
    <t>Achado/observação</t>
  </si>
  <si>
    <t>Requer ação?</t>
  </si>
  <si>
    <t>Prazo</t>
  </si>
  <si>
    <t>Responsável</t>
  </si>
  <si>
    <t>Situação da ação</t>
  </si>
  <si>
    <t>AUD-0001</t>
  </si>
  <si>
    <t>Não avaliado</t>
  </si>
  <si>
    <t>Não</t>
  </si>
  <si>
    <t>CHECKLIST PARA A VISITA TÉCNICA</t>
  </si>
  <si>
    <t>Síntese operacional dos 12 itens finais do Checklist da Coordenadoria de Documentação Escolar</t>
  </si>
  <si>
    <t>Auditoria</t>
  </si>
  <si>
    <t>Data da visita</t>
  </si>
  <si>
    <t>Conclusão</t>
  </si>
  <si>
    <t>Nº</t>
  </si>
  <si>
    <t>Item do Checklist para a visita</t>
  </si>
  <si>
    <t>Esta aba é uma síntese automática. Para alterar situação, evidência, achado, responsável ou prazo, utilize as linhas VIS-01 a VIS-12 da aba Auditoria Documental.</t>
  </si>
  <si>
    <t>PLANO DE AÇÃO CORRETIVA</t>
  </si>
  <si>
    <t>Tratamento, acompanhamento e validação das não conformidades identificadas</t>
  </si>
  <si>
    <t>Registre uma ação para cada pendência relevante, informando prioridade, responsável, prazo e evidência de conclusão. A baixa depende de validação da CDE.</t>
  </si>
  <si>
    <t>ID ação</t>
  </si>
  <si>
    <t>Código do item</t>
  </si>
  <si>
    <t>Achado</t>
  </si>
  <si>
    <t>Ação corretiva</t>
  </si>
  <si>
    <t>Data de abertura</t>
  </si>
  <si>
    <t>Dias restantes</t>
  </si>
  <si>
    <t>Evidência de conclusão</t>
  </si>
  <si>
    <t>Data de conclusão</t>
  </si>
  <si>
    <t>Validação CDE</t>
  </si>
  <si>
    <t>PAINEL DE CONTROLE DA DOCUMENTAÇÃO ESCOLAR</t>
  </si>
  <si>
    <t>Coordenadoria de Documentação Escolar — visão executiva das unidades, auditorias, conformidade documental e ações corretivas</t>
  </si>
  <si>
    <t>Quantidade</t>
  </si>
  <si>
    <t>Unidades cadastradas</t>
  </si>
  <si>
    <t>Itens do Checklist</t>
  </si>
  <si>
    <t>Auditorias registradas</t>
  </si>
  <si>
    <t>Não conformes</t>
  </si>
  <si>
    <t>Índice global</t>
  </si>
  <si>
    <t>Base territorial e de endereços</t>
  </si>
  <si>
    <t>100% dos registros do documento</t>
  </si>
  <si>
    <t>Planejamento por unidade</t>
  </si>
  <si>
    <t>Verificações concluídas</t>
  </si>
  <si>
    <t>Providências necessárias</t>
  </si>
  <si>
    <t>Conformidade ponderada</t>
  </si>
  <si>
    <t>Seção</t>
  </si>
  <si>
    <t>Itens</t>
  </si>
  <si>
    <t>Institucionais</t>
  </si>
  <si>
    <t>Secretaria escolar</t>
  </si>
  <si>
    <t>Estudantes</t>
  </si>
  <si>
    <t>Servidores</t>
  </si>
  <si>
    <t>Administrativos</t>
  </si>
  <si>
    <t>Verificações CDE</t>
  </si>
  <si>
    <t>Checklist da visita</t>
  </si>
  <si>
    <t>Municipal</t>
  </si>
  <si>
    <t>OSC/Conveniada</t>
  </si>
  <si>
    <t>QUALIDADE DO CADASTRO TERRITORIAL</t>
  </si>
  <si>
    <t>Indicador</t>
  </si>
  <si>
    <t>Registros</t>
  </si>
  <si>
    <t>Cobertura</t>
  </si>
  <si>
    <t>Logradouro informado</t>
  </si>
  <si>
    <t>CEP informado</t>
  </si>
  <si>
    <t>Telefone informado</t>
  </si>
  <si>
    <t>E-mail informado</t>
  </si>
  <si>
    <t>Situação ativa</t>
  </si>
  <si>
    <t>LEGENDA DE GESTÃO</t>
  </si>
  <si>
    <t>Atende integralmente</t>
  </si>
  <si>
    <t>Exige complementação</t>
  </si>
  <si>
    <t>Exige ação corretiva</t>
  </si>
  <si>
    <t>Justificar exclusão</t>
  </si>
  <si>
    <t>Verificação pendente</t>
  </si>
  <si>
    <t>O índice global considera apenas os 41 itens técnicos. Os 12 itens do Checklist da Visita permanecem integralmente registrados como síntese de conferência, com peso zero para evitar dupla contagem.</t>
  </si>
  <si>
    <t>RELATÓRIOS GERENCIAIS</t>
  </si>
  <si>
    <t>Consolidação automática da conformidade documental, das auditorias e da distribuição territorial das unidades</t>
  </si>
  <si>
    <t>A matriz apresenta todos os itens do Checklist. O índice ponderado é calculado apenas quando a seção possui peso técnico superior a zero.</t>
  </si>
  <si>
    <t>Itens registrados</t>
  </si>
  <si>
    <t>DISTRIBUIÇÃO DAS UNIDADES POR DISTRITO</t>
  </si>
  <si>
    <t>CONSOLIDAÇÃO DAS AUDITORIAS</t>
  </si>
  <si>
    <t>Total</t>
  </si>
  <si>
    <t>Participação</t>
  </si>
  <si>
    <t>Índice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</si>
</sst>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0.0%"/>
    <numFmt numFmtId="167" formatCode="0.0"/>
  </numFmts>
  <fonts count="26">
    <font>
      <sz val="11.0"/>
      <color rgb="FF000000"/>
      <name val="Carlito"/>
      <scheme val="minor"/>
    </font>
    <font>
      <b/>
      <sz val="18.0"/>
      <color rgb="FFFFFFFF"/>
      <name val="Carlito"/>
    </font>
    <font/>
    <font>
      <i/>
      <sz val="10.0"/>
      <color rgb="FF17365D"/>
      <name val="Carlito"/>
    </font>
    <font>
      <sz val="11.0"/>
      <color theme="1"/>
      <name val="Carlito"/>
    </font>
    <font>
      <b/>
      <sz val="10.0"/>
      <color rgb="FF17365D"/>
      <name val="Carlito"/>
    </font>
    <font>
      <sz val="10.0"/>
      <color rgb="FF172033"/>
      <name val="Carlito"/>
    </font>
    <font>
      <b/>
      <sz val="11.0"/>
      <color rgb="FFFFFFFF"/>
      <name val="Carlito"/>
    </font>
    <font>
      <b/>
      <sz val="9.0"/>
      <color rgb="FFFFFFFF"/>
      <name val="Carlito"/>
    </font>
    <font>
      <sz val="9.0"/>
      <color rgb="FF172033"/>
      <name val="Carlito"/>
    </font>
    <font>
      <b/>
      <sz val="11.0"/>
      <color rgb="FF2F75B5"/>
      <name val="Carlito"/>
    </font>
    <font>
      <sz val="11.0"/>
      <color rgb="FF000000"/>
      <name val="Carlito"/>
    </font>
    <font>
      <sz val="9.0"/>
      <color theme="1"/>
      <name val="Carlito"/>
    </font>
    <font>
      <sz val="9.0"/>
      <color rgb="FF000000"/>
      <name val="Carlito"/>
    </font>
    <font>
      <color theme="1"/>
      <name val="Carlito"/>
      <scheme val="minor"/>
    </font>
    <font>
      <color rgb="FF000000"/>
      <name val="Carlito"/>
      <scheme val="minor"/>
    </font>
    <font>
      <sz val="9.0"/>
      <color theme="1"/>
      <name val="Carlito"/>
      <scheme val="minor"/>
    </font>
    <font>
      <sz val="9.0"/>
      <color rgb="FF000000"/>
      <name val="Carlito"/>
      <scheme val="minor"/>
    </font>
    <font>
      <sz val="8.0"/>
      <color theme="1"/>
      <name val="Arial"/>
    </font>
    <font>
      <sz val="9.0"/>
      <color rgb="FF333333"/>
      <name val="Carlito"/>
      <scheme val="minor"/>
    </font>
    <font>
      <sz val="9.0"/>
      <color rgb="FF333333"/>
      <name val="Carlito"/>
    </font>
    <font>
      <i/>
      <sz val="9.0"/>
      <color rgb="FF6D5200"/>
      <name val="Carlito"/>
    </font>
    <font>
      <b/>
      <sz val="11.0"/>
      <color theme="1"/>
      <name val="Carlito"/>
    </font>
    <font>
      <b/>
      <sz val="10.0"/>
      <color rgb="FFFFFFFF"/>
      <name val="Carlito"/>
    </font>
    <font>
      <b/>
      <sz val="22.0"/>
      <color rgb="FF17365D"/>
      <name val="Carlito"/>
    </font>
    <font>
      <i/>
      <sz val="8.0"/>
      <color rgb="FF5B6573"/>
      <name val="Carlito"/>
    </font>
  </fonts>
  <fills count="19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DEBF7"/>
        <bgColor rgb="FFDDEBF7"/>
      </patternFill>
    </fill>
    <fill>
      <patternFill patternType="solid">
        <fgColor rgb="FFD7A928"/>
        <bgColor rgb="FFD7A928"/>
      </patternFill>
    </fill>
    <fill>
      <patternFill patternType="solid">
        <fgColor rgb="FFFFFFFF"/>
        <bgColor rgb="FFFFFFFF"/>
      </patternFill>
    </fill>
    <fill>
      <patternFill patternType="solid">
        <fgColor rgb="FF0F6B63"/>
        <bgColor rgb="FF0F6B63"/>
      </patternFill>
    </fill>
    <fill>
      <patternFill patternType="solid">
        <fgColor rgb="FFF5F8FC"/>
        <bgColor rgb="FFF5F8FC"/>
      </patternFill>
    </fill>
    <fill>
      <patternFill patternType="solid">
        <fgColor rgb="FFC1F0C8"/>
        <bgColor rgb="FFC1F0C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DFBFA"/>
        <bgColor rgb="FFFDFBFA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8E5"/>
        <bgColor rgb="FFFFF8E5"/>
      </patternFill>
    </fill>
    <fill>
      <patternFill patternType="solid">
        <fgColor rgb="FF2F75B5"/>
        <bgColor rgb="FF2F75B5"/>
      </patternFill>
    </fill>
    <fill>
      <patternFill patternType="solid">
        <fgColor rgb="FF7654A6"/>
        <bgColor rgb="FF7654A6"/>
      </patternFill>
    </fill>
    <fill>
      <patternFill patternType="solid">
        <fgColor rgb="FFE84C3D"/>
        <bgColor rgb="FFE84C3D"/>
      </patternFill>
    </fill>
    <fill>
      <patternFill patternType="solid">
        <fgColor rgb="FF3FAE49"/>
        <bgColor rgb="FF3FAE49"/>
      </patternFill>
    </fill>
  </fills>
  <borders count="4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5DEE9"/>
      </left>
      <right style="thin">
        <color rgb="FFD5DEE9"/>
      </right>
      <top style="thin">
        <color rgb="FFD5DEE9"/>
      </top>
      <bottom style="thin">
        <color rgb="FFD5DEE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E3E9F0"/>
      </bottom>
    </border>
    <border>
      <top style="thin">
        <color rgb="FFE3E9F0"/>
      </top>
      <bottom style="thin">
        <color rgb="FFE3E9F0"/>
      </bottom>
    </border>
    <border>
      <top style="thin">
        <color rgb="FFE3E9F0"/>
      </top>
    </border>
    <border>
      <top style="thin">
        <color rgb="FFE3E9F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D7A928"/>
      </left>
      <top style="thin">
        <color rgb="FFD7A928"/>
      </top>
      <bottom style="thin">
        <color rgb="FFD7A928"/>
      </bottom>
    </border>
    <border>
      <top style="thin">
        <color rgb="FFD7A928"/>
      </top>
      <bottom style="thin">
        <color rgb="FFD7A928"/>
      </bottom>
    </border>
    <border>
      <right style="thin">
        <color rgb="FFD7A928"/>
      </right>
      <top style="thin">
        <color rgb="FFD7A928"/>
      </top>
      <bottom style="thin">
        <color rgb="FFD7A928"/>
      </bottom>
    </border>
    <border>
      <left style="thin">
        <color rgb="FFD5DEE9"/>
      </left>
      <top style="thin">
        <color rgb="FFD5DEE9"/>
      </top>
      <bottom style="thin">
        <color rgb="FFD5DEE9"/>
      </bottom>
    </border>
    <border>
      <right style="thin">
        <color rgb="FFD5DEE9"/>
      </right>
      <top style="thin">
        <color rgb="FFD5DEE9"/>
      </top>
      <bottom style="thin">
        <color rgb="FFD5DEE9"/>
      </bottom>
    </border>
    <border>
      <top style="thin">
        <color rgb="FFD5DEE9"/>
      </top>
      <bottom style="thin">
        <color rgb="FFD5DEE9"/>
      </bottom>
    </border>
    <border>
      <left style="thin">
        <color rgb="FFD5DEE9"/>
      </left>
      <top style="thin">
        <color rgb="FFD5DEE9"/>
      </top>
      <bottom/>
    </border>
    <border>
      <top style="thin">
        <color rgb="FFD5DEE9"/>
      </top>
      <bottom/>
    </border>
    <border>
      <right style="thin">
        <color rgb="FFD5DEE9"/>
      </right>
      <top style="thin">
        <color rgb="FFD5DEE9"/>
      </top>
      <bottom/>
    </border>
    <border>
      <left style="thin">
        <color rgb="FFD5DEE9"/>
      </left>
      <top/>
    </border>
    <border>
      <top/>
    </border>
    <border>
      <right style="thin">
        <color rgb="FFD5DEE9"/>
      </right>
      <top/>
    </border>
    <border>
      <left style="thin">
        <color rgb="FFD5DEE9"/>
      </left>
    </border>
    <border>
      <right style="thin">
        <color rgb="FFD5DEE9"/>
      </right>
    </border>
    <border>
      <left style="thin">
        <color rgb="FFD5DEE9"/>
      </left>
      <bottom/>
    </border>
    <border>
      <bottom/>
    </border>
    <border>
      <right style="thin">
        <color rgb="FFD5DEE9"/>
      </right>
      <bottom/>
    </border>
    <border>
      <left style="thin">
        <color rgb="FFD5DEE9"/>
      </left>
      <top/>
      <bottom style="thin">
        <color rgb="FFD5DEE9"/>
      </bottom>
    </border>
    <border>
      <top/>
      <bottom style="thin">
        <color rgb="FFD5DEE9"/>
      </bottom>
    </border>
    <border>
      <right style="thin">
        <color rgb="FFD5DEE9"/>
      </right>
      <top/>
      <bottom style="thin">
        <color rgb="FFD5DEE9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/>
      <top/>
      <bottom style="thin">
        <color rgb="FFD5DEE9"/>
      </bottom>
    </border>
    <border>
      <right/>
      <top/>
      <bottom style="thin">
        <color rgb="FFD5DEE9"/>
      </bottom>
    </border>
    <border>
      <left/>
      <right/>
      <top/>
      <bottom style="thin">
        <color rgb="FFD5DEE9"/>
      </bottom>
    </border>
    <border>
      <left/>
      <top style="thin">
        <color rgb="FFD5DEE9"/>
      </top>
      <bottom style="thin">
        <color rgb="FFD5DEE9"/>
      </bottom>
    </border>
    <border>
      <right/>
      <top style="thin">
        <color rgb="FFD5DEE9"/>
      </top>
      <bottom style="thin">
        <color rgb="FFD5DEE9"/>
      </bottom>
    </border>
    <border>
      <left/>
      <right/>
      <top style="thin">
        <color rgb="FFD5DEE9"/>
      </top>
      <bottom style="thin">
        <color rgb="FFD5DEE9"/>
      </bottom>
    </border>
    <border>
      <left/>
      <top style="thin">
        <color rgb="FFD5DEE9"/>
      </top>
      <bottom/>
    </border>
    <border>
      <right/>
      <top style="thin">
        <color rgb="FFD5DEE9"/>
      </top>
      <bottom/>
    </border>
    <border>
      <left/>
      <right/>
      <top style="thin">
        <color rgb="FFD5DEE9"/>
      </top>
      <bottom/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shrinkToFit="0" vertical="center" wrapText="1"/>
    </xf>
    <xf borderId="4" fillId="4" fontId="4" numFmtId="0" xfId="0" applyBorder="1" applyFill="1" applyFont="1"/>
    <xf borderId="5" fillId="3" fontId="5" numFmtId="0" xfId="0" applyAlignment="1" applyBorder="1" applyFill="1" applyFont="1">
      <alignment shrinkToFit="0" vertical="center" wrapText="1"/>
    </xf>
    <xf borderId="5" fillId="5" fontId="6" numFmtId="0" xfId="0" applyAlignment="1" applyBorder="1" applyFill="1" applyFont="1">
      <alignment shrinkToFit="0" vertical="center" wrapText="1"/>
    </xf>
    <xf borderId="1" fillId="2" fontId="7" numFmtId="0" xfId="0" applyAlignment="1" applyBorder="1" applyFill="1" applyFont="1">
      <alignment horizontal="center"/>
    </xf>
    <xf borderId="6" fillId="6" fontId="8" numFmtId="0" xfId="0" applyAlignment="1" applyBorder="1" applyFill="1" applyFont="1">
      <alignment horizontal="center" shrinkToFit="0" vertical="center" wrapText="1"/>
    </xf>
    <xf borderId="7" fillId="0" fontId="9" numFmtId="0" xfId="0" applyAlignment="1" applyBorder="1" applyFont="1">
      <alignment shrinkToFit="0" vertical="center" wrapText="1"/>
    </xf>
    <xf borderId="8" fillId="0" fontId="9" numFmtId="0" xfId="0" applyAlignment="1" applyBorder="1" applyFont="1">
      <alignment shrinkToFit="0" vertical="center" wrapText="1"/>
    </xf>
    <xf borderId="9" fillId="0" fontId="9" numFmtId="0" xfId="0" applyAlignment="1" applyBorder="1" applyFont="1">
      <alignment shrinkToFit="0" vertical="center" wrapText="1"/>
    </xf>
    <xf borderId="1" fillId="6" fontId="7" numFmtId="0" xfId="0" applyAlignment="1" applyBorder="1" applyFill="1" applyFont="1">
      <alignment horizontal="center"/>
    </xf>
    <xf borderId="5" fillId="7" fontId="10" numFmtId="0" xfId="0" applyAlignment="1" applyBorder="1" applyFill="1" applyFont="1">
      <alignment shrinkToFit="0" wrapText="1"/>
    </xf>
    <xf borderId="5" fillId="0" fontId="4" numFmtId="0" xfId="0" applyAlignment="1" applyBorder="1" applyFont="1">
      <alignment shrinkToFit="0" wrapText="1"/>
    </xf>
    <xf borderId="4" fillId="4" fontId="4" numFmtId="0" xfId="0" applyAlignment="1" applyBorder="1" applyFill="1" applyFont="1">
      <alignment horizontal="center"/>
    </xf>
    <xf borderId="4" fillId="4" fontId="11" numFmtId="0" xfId="0" applyBorder="1" applyFill="1" applyFont="1"/>
    <xf borderId="4" fillId="4" fontId="12" numFmtId="0" xfId="0" applyBorder="1" applyFill="1" applyFont="1"/>
    <xf borderId="4" fillId="4" fontId="12" numFmtId="0" xfId="0" applyAlignment="1" applyBorder="1" applyFill="1" applyFont="1">
      <alignment horizontal="center"/>
    </xf>
    <xf borderId="4" fillId="4" fontId="13" numFmtId="0" xfId="0" applyAlignment="1" applyBorder="1" applyFill="1" applyFont="1">
      <alignment horizontal="center"/>
    </xf>
    <xf borderId="0" fillId="0" fontId="14" numFmtId="0" xfId="0" applyAlignment="1" applyFont="1">
      <alignment readingOrder="0"/>
    </xf>
    <xf borderId="0" fillId="0" fontId="14" numFmtId="0" xfId="0" applyAlignment="1" applyFont="1">
      <alignment horizontal="center"/>
    </xf>
    <xf borderId="0" fillId="0" fontId="15" numFmtId="0" xfId="0" applyFont="1"/>
    <xf borderId="0" fillId="0" fontId="16" numFmtId="0" xfId="0" applyFont="1"/>
    <xf borderId="0" fillId="0" fontId="16" numFmtId="0" xfId="0" applyAlignment="1" applyFont="1">
      <alignment horizontal="center"/>
    </xf>
    <xf borderId="0" fillId="0" fontId="13" numFmtId="0" xfId="0" applyAlignment="1" applyFont="1">
      <alignment horizontal="center"/>
    </xf>
    <xf borderId="6" fillId="6" fontId="8" numFmtId="0" xfId="0" applyAlignment="1" applyBorder="1" applyFill="1" applyFont="1">
      <alignment horizontal="center" readingOrder="0" shrinkToFit="0" vertical="center" wrapText="1"/>
    </xf>
    <xf borderId="6" fillId="6" fontId="8" numFmtId="49" xfId="0" applyAlignment="1" applyBorder="1" applyFill="1" applyFont="1" applyNumberFormat="1">
      <alignment horizontal="center" readingOrder="0" shrinkToFit="0" vertical="center" wrapText="1"/>
    </xf>
    <xf borderId="7" fillId="0" fontId="12" numFmtId="0" xfId="0" applyAlignment="1" applyBorder="1" applyFont="1">
      <alignment shrinkToFit="0" vertical="center" wrapText="1"/>
    </xf>
    <xf borderId="7" fillId="0" fontId="12" numFmtId="49" xfId="0" applyAlignment="1" applyBorder="1" applyFont="1" applyNumberFormat="1">
      <alignment shrinkToFit="0" vertical="center" wrapText="1"/>
    </xf>
    <xf borderId="7" fillId="0" fontId="12" numFmtId="0" xfId="0" applyAlignment="1" applyBorder="1" applyFont="1">
      <alignment readingOrder="0" shrinkToFit="0" vertical="center" wrapText="1"/>
    </xf>
    <xf borderId="7" fillId="8" fontId="12" numFmtId="0" xfId="0" applyAlignment="1" applyBorder="1" applyFill="1" applyFont="1">
      <alignment readingOrder="0" shrinkToFit="0" vertical="center" wrapText="1"/>
    </xf>
    <xf borderId="7" fillId="0" fontId="13" numFmtId="0" xfId="0" applyAlignment="1" applyBorder="1" applyFont="1">
      <alignment horizontal="center" readingOrder="0" shrinkToFit="0" vertical="center" wrapText="1"/>
    </xf>
    <xf borderId="7" fillId="0" fontId="13" numFmtId="0" xfId="0" applyAlignment="1" applyBorder="1" applyFont="1">
      <alignment readingOrder="0" shrinkToFit="0" vertical="center" wrapText="1"/>
    </xf>
    <xf borderId="7" fillId="0" fontId="12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horizontal="center" readingOrder="0" shrinkToFit="0" vertical="center" wrapText="1"/>
    </xf>
    <xf borderId="7" fillId="0" fontId="12" numFmtId="14" xfId="0" applyAlignment="1" applyBorder="1" applyFont="1" applyNumberFormat="1">
      <alignment readingOrder="0" shrinkToFit="0" vertical="center" wrapText="1"/>
    </xf>
    <xf borderId="0" fillId="0" fontId="4" numFmtId="0" xfId="0" applyFont="1"/>
    <xf borderId="8" fillId="0" fontId="12" numFmtId="0" xfId="0" applyAlignment="1" applyBorder="1" applyFont="1">
      <alignment shrinkToFit="0" vertical="center" wrapText="1"/>
    </xf>
    <xf borderId="8" fillId="0" fontId="12" numFmtId="49" xfId="0" applyAlignment="1" applyBorder="1" applyFont="1" applyNumberFormat="1">
      <alignment shrinkToFit="0" vertical="center" wrapText="1"/>
    </xf>
    <xf borderId="8" fillId="0" fontId="12" numFmtId="0" xfId="0" applyAlignment="1" applyBorder="1" applyFont="1">
      <alignment readingOrder="0" shrinkToFit="0" vertical="center" wrapText="1"/>
    </xf>
    <xf borderId="8" fillId="5" fontId="12" numFmtId="0" xfId="0" applyAlignment="1" applyBorder="1" applyFill="1" applyFont="1">
      <alignment readingOrder="0" shrinkToFit="0" vertical="center" wrapText="1"/>
    </xf>
    <xf borderId="8" fillId="0" fontId="13" numFmtId="0" xfId="0" applyAlignment="1" applyBorder="1" applyFont="1">
      <alignment horizontal="center" readingOrder="0" shrinkToFit="0" vertical="center" wrapText="1"/>
    </xf>
    <xf borderId="8" fillId="0" fontId="13" numFmtId="0" xfId="0" applyAlignment="1" applyBorder="1" applyFont="1">
      <alignment readingOrder="0" shrinkToFit="0" vertical="center" wrapText="1"/>
    </xf>
    <xf borderId="8" fillId="0" fontId="12" numFmtId="164" xfId="0" applyAlignment="1" applyBorder="1" applyFont="1" applyNumberFormat="1">
      <alignment horizontal="center" readingOrder="0" shrinkToFit="0" vertical="center" wrapText="1"/>
    </xf>
    <xf borderId="0" fillId="5" fontId="12" numFmtId="0" xfId="0" applyAlignment="1" applyFill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 shrinkToFit="0" vertical="center" wrapText="0"/>
    </xf>
    <xf borderId="8" fillId="0" fontId="12" numFmtId="0" xfId="0" applyAlignment="1" applyBorder="1" applyFont="1">
      <alignment horizontal="center" shrinkToFit="0" vertical="center" wrapText="1"/>
    </xf>
    <xf borderId="8" fillId="0" fontId="12" numFmtId="14" xfId="0" applyAlignment="1" applyBorder="1" applyFont="1" applyNumberFormat="1">
      <alignment readingOrder="0" shrinkToFit="0" vertical="center" wrapText="1"/>
    </xf>
    <xf borderId="8" fillId="8" fontId="12" numFmtId="0" xfId="0" applyAlignment="1" applyBorder="1" applyFill="1" applyFont="1">
      <alignment readingOrder="0" shrinkToFit="0" vertical="center" wrapText="1"/>
    </xf>
    <xf borderId="8" fillId="9" fontId="13" numFmtId="0" xfId="0" applyAlignment="1" applyBorder="1" applyFill="1" applyFont="1">
      <alignment readingOrder="0" shrinkToFit="0" vertical="center" wrapText="1"/>
    </xf>
    <xf borderId="8" fillId="9" fontId="12" numFmtId="165" xfId="0" applyAlignment="1" applyBorder="1" applyFill="1" applyFont="1" applyNumberForma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0"/>
    </xf>
    <xf borderId="8" fillId="0" fontId="12" numFmtId="0" xfId="0" applyAlignment="1" applyBorder="1" applyFont="1">
      <alignment horizontal="center" readingOrder="0" shrinkToFit="0" vertical="center" wrapText="1"/>
    </xf>
    <xf borderId="8" fillId="5" fontId="12" numFmtId="0" xfId="0" applyAlignment="1" applyBorder="1" applyFill="1" applyFont="1">
      <alignment horizontal="center" readingOrder="0" shrinkToFit="0" vertical="center" wrapText="1"/>
    </xf>
    <xf borderId="8" fillId="0" fontId="13" numFmtId="0" xfId="0" applyAlignment="1" applyBorder="1" applyFont="1">
      <alignment horizontal="center" shrinkToFit="0" vertical="center" wrapText="1"/>
    </xf>
    <xf borderId="8" fillId="5" fontId="12" numFmtId="0" xfId="0" applyAlignment="1" applyBorder="1" applyFill="1" applyFont="1">
      <alignment shrinkToFit="0" vertical="center" wrapText="1"/>
    </xf>
    <xf borderId="8" fillId="5" fontId="12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horizontal="center" readingOrder="0" shrinkToFit="0" vertical="center" wrapText="0"/>
    </xf>
    <xf borderId="8" fillId="0" fontId="12" numFmtId="165" xfId="0" applyAlignment="1" applyBorder="1" applyFont="1" applyNumberFormat="1">
      <alignment horizontal="center" readingOrder="0" shrinkToFit="0" vertical="center" wrapText="1"/>
    </xf>
    <xf borderId="8" fillId="10" fontId="13" numFmtId="0" xfId="0" applyAlignment="1" applyBorder="1" applyFill="1" applyFont="1">
      <alignment readingOrder="0" shrinkToFit="0" vertical="center" wrapText="1"/>
    </xf>
    <xf borderId="8" fillId="10" fontId="12" numFmtId="165" xfId="0" applyAlignment="1" applyBorder="1" applyFill="1" applyFont="1" applyNumberFormat="1">
      <alignment horizontal="center" readingOrder="0" shrinkToFit="0" vertical="center" wrapText="1"/>
    </xf>
    <xf borderId="9" fillId="0" fontId="12" numFmtId="0" xfId="0" applyAlignment="1" applyBorder="1" applyFont="1">
      <alignment horizontal="center" shrinkToFit="0" vertical="center" wrapText="1"/>
    </xf>
    <xf borderId="0" fillId="5" fontId="18" numFmtId="0" xfId="0" applyAlignment="1" applyFill="1" applyFont="1">
      <alignment horizontal="center" readingOrder="0" shrinkToFit="0" vertical="center" wrapText="0"/>
    </xf>
    <xf borderId="8" fillId="9" fontId="13" numFmtId="164" xfId="0" applyAlignment="1" applyBorder="1" applyFill="1" applyFont="1" applyNumberFormat="1">
      <alignment horizontal="center" readingOrder="0" shrinkToFit="0" vertical="center" wrapText="1"/>
    </xf>
    <xf borderId="8" fillId="8" fontId="13" numFmtId="0" xfId="0" applyAlignment="1" applyBorder="1" applyFill="1" applyFont="1">
      <alignment readingOrder="0" shrinkToFit="0" vertical="center" wrapText="1"/>
    </xf>
    <xf borderId="8" fillId="5" fontId="13" numFmtId="0" xfId="0" applyAlignment="1" applyBorder="1" applyFill="1" applyFont="1">
      <alignment readingOrder="0" shrinkToFit="0" vertical="center" wrapText="1"/>
    </xf>
    <xf borderId="8" fillId="5" fontId="13" numFmtId="0" xfId="0" applyAlignment="1" applyBorder="1" applyFill="1" applyFont="1">
      <alignment horizontal="center" readingOrder="0" shrinkToFit="0" vertical="center" wrapText="1"/>
    </xf>
    <xf borderId="8" fillId="9" fontId="12" numFmtId="164" xfId="0" applyAlignment="1" applyBorder="1" applyFill="1" applyFont="1" applyNumberFormat="1">
      <alignment horizontal="center" readingOrder="0" shrinkToFit="0" vertical="center" wrapText="1"/>
    </xf>
    <xf borderId="8" fillId="10" fontId="12" numFmtId="164" xfId="0" applyAlignment="1" applyBorder="1" applyFill="1" applyFont="1" applyNumberForma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11" fontId="19" numFmtId="0" xfId="0" applyAlignment="1" applyFill="1" applyFont="1">
      <alignment readingOrder="0" shrinkToFit="0" vertical="center" wrapText="1"/>
    </xf>
    <xf borderId="0" fillId="11" fontId="20" numFmtId="0" xfId="0" applyAlignment="1" applyFill="1" applyFont="1">
      <alignment horizontal="center" readingOrder="0" shrinkToFit="0" vertical="center" wrapText="1"/>
    </xf>
    <xf borderId="7" fillId="0" fontId="9" numFmtId="0" xfId="0" applyAlignment="1" applyBorder="1" applyFont="1">
      <alignment horizontal="center" readingOrder="0" shrinkToFit="0" vertical="center" wrapText="1"/>
    </xf>
    <xf borderId="0" fillId="8" fontId="12" numFmtId="0" xfId="0" applyAlignment="1" applyFill="1" applyFont="1">
      <alignment horizontal="center" readingOrder="0" shrinkToFit="0" vertical="center" wrapText="1"/>
    </xf>
    <xf borderId="8" fillId="0" fontId="12" numFmtId="14" xfId="0" applyAlignment="1" applyBorder="1" applyFont="1" applyNumberFormat="1">
      <alignment shrinkToFit="0" vertical="center" wrapText="1"/>
    </xf>
    <xf borderId="8" fillId="8" fontId="12" numFmtId="0" xfId="0" applyAlignment="1" applyBorder="1" applyFill="1" applyFont="1">
      <alignment horizontal="center" readingOrder="0" shrinkToFit="0" vertical="center" wrapText="1"/>
    </xf>
    <xf borderId="9" fillId="0" fontId="12" numFmtId="0" xfId="0" applyAlignment="1" applyBorder="1" applyFont="1">
      <alignment shrinkToFit="0" vertical="center" wrapText="1"/>
    </xf>
    <xf borderId="9" fillId="0" fontId="12" numFmtId="49" xfId="0" applyAlignment="1" applyBorder="1" applyFont="1" applyNumberFormat="1">
      <alignment shrinkToFit="0" vertical="center" wrapText="1"/>
    </xf>
    <xf borderId="9" fillId="0" fontId="12" numFmtId="0" xfId="0" applyAlignment="1" applyBorder="1" applyFont="1">
      <alignment readingOrder="0" shrinkToFit="0" vertical="center" wrapText="1"/>
    </xf>
    <xf borderId="9" fillId="8" fontId="12" numFmtId="0" xfId="0" applyAlignment="1" applyBorder="1" applyFill="1" applyFont="1">
      <alignment readingOrder="0" shrinkToFit="0" vertical="center" wrapText="1"/>
    </xf>
    <xf borderId="10" fillId="0" fontId="12" numFmtId="0" xfId="0" applyAlignment="1" applyBorder="1" applyFont="1">
      <alignment readingOrder="0" shrinkToFit="0" vertical="center" wrapText="1"/>
    </xf>
    <xf borderId="10" fillId="0" fontId="13" numFmtId="0" xfId="0" applyAlignment="1" applyBorder="1" applyFont="1">
      <alignment horizontal="center" readingOrder="0" shrinkToFit="0" vertical="center" wrapText="1"/>
    </xf>
    <xf borderId="9" fillId="9" fontId="13" numFmtId="0" xfId="0" applyAlignment="1" applyBorder="1" applyFill="1" applyFont="1">
      <alignment readingOrder="0" shrinkToFit="0" vertical="center" wrapText="1"/>
    </xf>
    <xf borderId="9" fillId="9" fontId="12" numFmtId="164" xfId="0" applyAlignment="1" applyBorder="1" applyFill="1" applyFont="1" applyNumberFormat="1">
      <alignment horizontal="center" readingOrder="0" shrinkToFit="0" vertical="center" wrapText="1"/>
    </xf>
    <xf borderId="9" fillId="0" fontId="12" numFmtId="14" xfId="0" applyAlignment="1" applyBorder="1" applyFont="1" applyNumberFormat="1">
      <alignment shrinkToFit="0" vertical="center" wrapText="1"/>
    </xf>
    <xf borderId="0" fillId="0" fontId="15" numFmtId="0" xfId="0" applyAlignment="1" applyFont="1">
      <alignment horizontal="center"/>
    </xf>
    <xf borderId="0" fillId="0" fontId="14" numFmtId="0" xfId="0" applyFont="1"/>
    <xf borderId="0" fillId="8" fontId="14" numFmtId="0" xfId="0" applyFill="1" applyFont="1"/>
    <xf borderId="0" fillId="5" fontId="14" numFmtId="0" xfId="0" applyFill="1" applyFont="1"/>
    <xf borderId="11" fillId="12" fontId="14" numFmtId="0" xfId="0" applyAlignment="1" applyBorder="1" applyFill="1" applyFont="1">
      <alignment horizontal="center"/>
    </xf>
    <xf borderId="11" fillId="12" fontId="14" numFmtId="0" xfId="0" applyBorder="1" applyFill="1" applyFont="1"/>
    <xf borderId="12" fillId="13" fontId="14" numFmtId="0" xfId="0" applyBorder="1" applyFill="1" applyFont="1"/>
    <xf borderId="12" fillId="0" fontId="14" numFmtId="0" xfId="0" applyBorder="1" applyFont="1"/>
    <xf borderId="0" fillId="5" fontId="14" numFmtId="0" xfId="0" applyAlignment="1" applyFill="1" applyFont="1">
      <alignment horizontal="center"/>
    </xf>
    <xf borderId="13" fillId="14" fontId="21" numFmtId="0" xfId="0" applyAlignment="1" applyBorder="1" applyFill="1" applyFont="1">
      <alignment shrinkToFit="0" vertical="center" wrapText="1"/>
    </xf>
    <xf borderId="14" fillId="0" fontId="2" numFmtId="0" xfId="0" applyBorder="1" applyFont="1"/>
    <xf borderId="15" fillId="0" fontId="2" numFmtId="0" xfId="0" applyBorder="1" applyFont="1"/>
    <xf borderId="7" fillId="0" fontId="9" numFmtId="0" xfId="0" applyAlignment="1" applyBorder="1" applyFont="1">
      <alignment shrinkToFit="0" vertical="center" wrapText="1"/>
    </xf>
    <xf borderId="7" fillId="0" fontId="9" numFmtId="1" xfId="0" applyAlignment="1" applyBorder="1" applyFont="1" applyNumberFormat="1">
      <alignment shrinkToFit="0" vertical="center" wrapText="1"/>
    </xf>
    <xf borderId="8" fillId="0" fontId="9" numFmtId="0" xfId="0" applyAlignment="1" applyBorder="1" applyFont="1">
      <alignment shrinkToFit="0" vertical="center" wrapText="1"/>
    </xf>
    <xf borderId="8" fillId="0" fontId="9" numFmtId="1" xfId="0" applyAlignment="1" applyBorder="1" applyFont="1" applyNumberFormat="1">
      <alignment shrinkToFit="0" vertical="center" wrapText="1"/>
    </xf>
    <xf borderId="9" fillId="0" fontId="9" numFmtId="0" xfId="0" applyAlignment="1" applyBorder="1" applyFont="1">
      <alignment shrinkToFit="0" vertical="center" wrapText="1"/>
    </xf>
    <xf borderId="9" fillId="0" fontId="9" numFmtId="1" xfId="0" applyAlignment="1" applyBorder="1" applyFont="1" applyNumberFormat="1">
      <alignment shrinkToFit="0" vertical="center" wrapText="1"/>
    </xf>
    <xf borderId="0" fillId="0" fontId="14" numFmtId="0" xfId="0" applyAlignment="1" applyFont="1">
      <alignment readingOrder="0" shrinkToFit="0" vertical="center" wrapText="0"/>
    </xf>
    <xf borderId="7" fillId="0" fontId="9" numFmtId="0" xfId="0" applyAlignment="1" applyBorder="1" applyFont="1">
      <alignment readingOrder="0" shrinkToFit="0" vertical="center" wrapText="1"/>
    </xf>
    <xf borderId="7" fillId="0" fontId="9" numFmtId="14" xfId="0" applyAlignment="1" applyBorder="1" applyFont="1" applyNumberFormat="1">
      <alignment shrinkToFit="0" vertical="center" wrapText="1"/>
    </xf>
    <xf borderId="7" fillId="0" fontId="9" numFmtId="3" xfId="0" applyAlignment="1" applyBorder="1" applyFont="1" applyNumberFormat="1">
      <alignment shrinkToFit="0" vertical="center" wrapText="1"/>
    </xf>
    <xf borderId="7" fillId="0" fontId="9" numFmtId="166" xfId="0" applyAlignment="1" applyBorder="1" applyFont="1" applyNumberFormat="1">
      <alignment shrinkToFit="0" vertical="center" wrapText="1"/>
    </xf>
    <xf borderId="8" fillId="0" fontId="9" numFmtId="0" xfId="0" applyAlignment="1" applyBorder="1" applyFont="1">
      <alignment readingOrder="0" shrinkToFit="0" vertical="center" wrapText="1"/>
    </xf>
    <xf borderId="8" fillId="0" fontId="9" numFmtId="14" xfId="0" applyAlignment="1" applyBorder="1" applyFont="1" applyNumberFormat="1">
      <alignment shrinkToFit="0" vertical="center" wrapText="1"/>
    </xf>
    <xf borderId="8" fillId="0" fontId="9" numFmtId="3" xfId="0" applyAlignment="1" applyBorder="1" applyFont="1" applyNumberFormat="1">
      <alignment shrinkToFit="0" vertical="center" wrapText="1"/>
    </xf>
    <xf borderId="8" fillId="0" fontId="9" numFmtId="166" xfId="0" applyAlignment="1" applyBorder="1" applyFont="1" applyNumberFormat="1">
      <alignment shrinkToFit="0" vertical="center" wrapText="1"/>
    </xf>
    <xf borderId="9" fillId="0" fontId="9" numFmtId="14" xfId="0" applyAlignment="1" applyBorder="1" applyFont="1" applyNumberFormat="1">
      <alignment shrinkToFit="0" vertical="center" wrapText="1"/>
    </xf>
    <xf borderId="9" fillId="0" fontId="9" numFmtId="3" xfId="0" applyAlignment="1" applyBorder="1" applyFont="1" applyNumberFormat="1">
      <alignment shrinkToFit="0" vertical="center" wrapText="1"/>
    </xf>
    <xf borderId="9" fillId="0" fontId="9" numFmtId="166" xfId="0" applyAlignment="1" applyBorder="1" applyFont="1" applyNumberForma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14" xfId="0" applyAlignment="1" applyFont="1" applyNumberFormat="1">
      <alignment shrinkToFit="0" vertical="center" wrapText="1"/>
    </xf>
    <xf borderId="0" fillId="0" fontId="9" numFmtId="3" xfId="0" applyAlignment="1" applyFont="1" applyNumberFormat="1">
      <alignment shrinkToFit="0" vertical="center" wrapText="1"/>
    </xf>
    <xf borderId="0" fillId="0" fontId="9" numFmtId="166" xfId="0" applyAlignment="1" applyFont="1" applyNumberFormat="1">
      <alignment shrinkToFit="0" vertical="center" wrapText="1"/>
    </xf>
    <xf borderId="7" fillId="0" fontId="9" numFmtId="167" xfId="0" applyAlignment="1" applyBorder="1" applyFont="1" applyNumberFormat="1">
      <alignment shrinkToFit="0" vertical="center" wrapText="1"/>
    </xf>
    <xf borderId="7" fillId="0" fontId="9" numFmtId="167" xfId="0" applyAlignment="1" applyBorder="1" applyFont="1" applyNumberFormat="1">
      <alignment readingOrder="0" shrinkToFit="0" vertical="center" wrapText="1"/>
    </xf>
    <xf borderId="8" fillId="0" fontId="9" numFmtId="167" xfId="0" applyAlignment="1" applyBorder="1" applyFont="1" applyNumberFormat="1">
      <alignment shrinkToFit="0" vertical="center" wrapText="1"/>
    </xf>
    <xf borderId="8" fillId="0" fontId="9" numFmtId="167" xfId="0" applyAlignment="1" applyBorder="1" applyFont="1" applyNumberFormat="1">
      <alignment readingOrder="0" shrinkToFit="0" vertical="center" wrapText="1"/>
    </xf>
    <xf borderId="12" fillId="0" fontId="9" numFmtId="0" xfId="0" applyAlignment="1" applyBorder="1" applyFont="1">
      <alignment readingOrder="0" shrinkToFit="0" vertical="center" wrapText="1"/>
    </xf>
    <xf borderId="9" fillId="0" fontId="9" numFmtId="167" xfId="0" applyAlignment="1" applyBorder="1" applyFont="1" applyNumberFormat="1">
      <alignment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167" xfId="0" applyAlignment="1" applyFont="1" applyNumberFormat="1">
      <alignment shrinkToFit="0" vertical="center" wrapText="1"/>
    </xf>
    <xf borderId="0" fillId="0" fontId="4" numFmtId="14" xfId="0" applyFont="1" applyNumberFormat="1"/>
    <xf borderId="0" fillId="0" fontId="4" numFmtId="167" xfId="0" applyFont="1" applyNumberFormat="1"/>
    <xf borderId="0" fillId="0" fontId="4" numFmtId="166" xfId="0" applyFont="1" applyNumberFormat="1"/>
    <xf borderId="1" fillId="2" fontId="8" numFmtId="0" xfId="0" applyAlignment="1" applyBorder="1" applyFill="1" applyFont="1">
      <alignment vertical="center"/>
    </xf>
    <xf borderId="16" fillId="0" fontId="4" numFmtId="0" xfId="0" applyBorder="1" applyFont="1"/>
    <xf borderId="17" fillId="0" fontId="2" numFmtId="0" xfId="0" applyBorder="1" applyFont="1"/>
    <xf borderId="16" fillId="2" fontId="8" numFmtId="0" xfId="0" applyAlignment="1" applyBorder="1" applyFill="1" applyFont="1">
      <alignment vertical="center"/>
    </xf>
    <xf borderId="16" fillId="0" fontId="4" numFmtId="14" xfId="0" applyBorder="1" applyFont="1" applyNumberFormat="1"/>
    <xf borderId="18" fillId="0" fontId="2" numFmtId="0" xfId="0" applyBorder="1" applyFont="1"/>
    <xf borderId="5" fillId="2" fontId="8" numFmtId="0" xfId="0" applyAlignment="1" applyBorder="1" applyFill="1" applyFont="1">
      <alignment vertical="center"/>
    </xf>
    <xf borderId="5" fillId="0" fontId="4" numFmtId="0" xfId="0" applyBorder="1" applyFont="1"/>
    <xf borderId="5" fillId="0" fontId="4" numFmtId="166" xfId="0" applyBorder="1" applyFont="1" applyNumberFormat="1"/>
    <xf borderId="7" fillId="0" fontId="9" numFmtId="167" xfId="0" applyAlignment="1" applyBorder="1" applyFont="1" applyNumberFormat="1">
      <alignment shrinkToFit="0" vertical="center" wrapText="1"/>
    </xf>
    <xf borderId="7" fillId="0" fontId="9" numFmtId="14" xfId="0" applyAlignment="1" applyBorder="1" applyFont="1" applyNumberFormat="1">
      <alignment shrinkToFit="0" vertical="center" wrapText="1"/>
    </xf>
    <xf borderId="8" fillId="0" fontId="9" numFmtId="167" xfId="0" applyAlignment="1" applyBorder="1" applyFont="1" applyNumberFormat="1">
      <alignment shrinkToFit="0" vertical="center" wrapText="1"/>
    </xf>
    <xf borderId="8" fillId="0" fontId="9" numFmtId="14" xfId="0" applyAlignment="1" applyBorder="1" applyFont="1" applyNumberFormat="1">
      <alignment shrinkToFit="0" vertical="center" wrapText="1"/>
    </xf>
    <xf borderId="9" fillId="0" fontId="9" numFmtId="167" xfId="0" applyAlignment="1" applyBorder="1" applyFont="1" applyNumberFormat="1">
      <alignment shrinkToFit="0" vertical="center" wrapText="1"/>
    </xf>
    <xf borderId="9" fillId="0" fontId="9" numFmtId="14" xfId="0" applyAlignment="1" applyBorder="1" applyFont="1" applyNumberFormat="1">
      <alignment shrinkToFit="0" vertical="center" wrapText="1"/>
    </xf>
    <xf borderId="0" fillId="0" fontId="22" numFmtId="0" xfId="0" applyFont="1"/>
    <xf borderId="19" fillId="6" fontId="23" numFmtId="0" xfId="0" applyAlignment="1" applyBorder="1" applyFill="1" applyFont="1">
      <alignment horizontal="center" shrinkToFit="0" vertical="center" wrapText="1"/>
    </xf>
    <xf borderId="20" fillId="0" fontId="2" numFmtId="0" xfId="0" applyBorder="1" applyFont="1"/>
    <xf borderId="21" fillId="0" fontId="2" numFmtId="0" xfId="0" applyBorder="1" applyFont="1"/>
    <xf borderId="19" fillId="2" fontId="23" numFmtId="0" xfId="0" applyAlignment="1" applyBorder="1" applyFill="1" applyFont="1">
      <alignment horizontal="center" shrinkToFit="0" vertical="center" wrapText="1"/>
    </xf>
    <xf borderId="19" fillId="15" fontId="23" numFmtId="0" xfId="0" applyAlignment="1" applyBorder="1" applyFill="1" applyFont="1">
      <alignment horizontal="center" shrinkToFit="0" vertical="center" wrapText="1"/>
    </xf>
    <xf borderId="19" fillId="16" fontId="23" numFmtId="0" xfId="0" applyAlignment="1" applyBorder="1" applyFill="1" applyFont="1">
      <alignment horizontal="center" shrinkToFit="0" vertical="center" wrapText="1"/>
    </xf>
    <xf borderId="19" fillId="17" fontId="23" numFmtId="0" xfId="0" applyAlignment="1" applyBorder="1" applyFill="1" applyFont="1">
      <alignment horizontal="center" shrinkToFit="0" vertical="center" wrapText="1"/>
    </xf>
    <xf borderId="19" fillId="18" fontId="23" numFmtId="0" xfId="0" applyAlignment="1" applyBorder="1" applyFill="1" applyFont="1">
      <alignment horizontal="center" shrinkToFit="0" vertical="center" wrapText="1"/>
    </xf>
    <xf borderId="22" fillId="7" fontId="24" numFmtId="3" xfId="0" applyAlignment="1" applyBorder="1" applyFill="1" applyFont="1" applyNumberFormat="1">
      <alignment horizontal="center" vertical="center"/>
    </xf>
    <xf borderId="23" fillId="0" fontId="2" numFmtId="0" xfId="0" applyBorder="1" applyFont="1"/>
    <xf borderId="24" fillId="0" fontId="2" numFmtId="0" xfId="0" applyBorder="1" applyFont="1"/>
    <xf borderId="22" fillId="7" fontId="24" numFmtId="166" xfId="0" applyAlignment="1" applyBorder="1" applyFill="1" applyFont="1" applyNumberFormat="1">
      <alignment horizontal="center" vertical="center"/>
    </xf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30" fillId="7" fontId="25" numFmtId="0" xfId="0" applyAlignment="1" applyBorder="1" applyFill="1" applyFont="1">
      <alignment horizontal="center" vertical="center"/>
    </xf>
    <xf borderId="31" fillId="0" fontId="2" numFmtId="0" xfId="0" applyBorder="1" applyFont="1"/>
    <xf borderId="32" fillId="0" fontId="2" numFmtId="0" xfId="0" applyBorder="1" applyFont="1"/>
    <xf borderId="1" fillId="2" fontId="7" numFmtId="0" xfId="0" applyAlignment="1" applyBorder="1" applyFill="1" applyFont="1">
      <alignment horizontal="center" vertical="center"/>
    </xf>
    <xf borderId="33" fillId="15" fontId="8" numFmtId="0" xfId="0" applyAlignment="1" applyBorder="1" applyFill="1" applyFont="1">
      <alignment horizontal="center" shrinkToFit="0" vertical="center" wrapText="1"/>
    </xf>
    <xf borderId="34" fillId="0" fontId="2" numFmtId="0" xfId="0" applyBorder="1" applyFont="1"/>
    <xf borderId="6" fillId="15" fontId="8" numFmtId="0" xfId="0" applyAlignment="1" applyBorder="1" applyFill="1" applyFont="1">
      <alignment horizontal="center" shrinkToFit="0" vertical="center" wrapText="1"/>
    </xf>
    <xf borderId="35" fillId="7" fontId="9" numFmtId="0" xfId="0" applyAlignment="1" applyBorder="1" applyFill="1" applyFont="1">
      <alignment vertical="center"/>
    </xf>
    <xf borderId="36" fillId="0" fontId="2" numFmtId="0" xfId="0" applyBorder="1" applyFont="1"/>
    <xf borderId="37" fillId="7" fontId="9" numFmtId="3" xfId="0" applyAlignment="1" applyBorder="1" applyFill="1" applyFont="1" applyNumberFormat="1">
      <alignment vertical="center"/>
    </xf>
    <xf borderId="35" fillId="7" fontId="9" numFmtId="166" xfId="0" applyAlignment="1" applyBorder="1" applyFill="1" applyFont="1" applyNumberFormat="1">
      <alignment vertical="center"/>
    </xf>
    <xf borderId="38" fillId="7" fontId="9" numFmtId="0" xfId="0" applyAlignment="1" applyBorder="1" applyFill="1" applyFont="1">
      <alignment vertical="center"/>
    </xf>
    <xf borderId="39" fillId="0" fontId="2" numFmtId="0" xfId="0" applyBorder="1" applyFont="1"/>
    <xf borderId="40" fillId="7" fontId="9" numFmtId="3" xfId="0" applyAlignment="1" applyBorder="1" applyFill="1" applyFont="1" applyNumberFormat="1">
      <alignment vertical="center"/>
    </xf>
    <xf borderId="38" fillId="7" fontId="9" numFmtId="166" xfId="0" applyAlignment="1" applyBorder="1" applyFill="1" applyFont="1" applyNumberFormat="1">
      <alignment vertical="center"/>
    </xf>
    <xf borderId="41" fillId="7" fontId="9" numFmtId="0" xfId="0" applyAlignment="1" applyBorder="1" applyFill="1" applyFont="1">
      <alignment vertical="center"/>
    </xf>
    <xf borderId="42" fillId="0" fontId="2" numFmtId="0" xfId="0" applyBorder="1" applyFont="1"/>
    <xf borderId="43" fillId="7" fontId="9" numFmtId="3" xfId="0" applyAlignment="1" applyBorder="1" applyFill="1" applyFont="1" applyNumberFormat="1">
      <alignment vertical="center"/>
    </xf>
    <xf borderId="41" fillId="7" fontId="9" numFmtId="166" xfId="0" applyAlignment="1" applyBorder="1" applyFill="1" applyFont="1" applyNumberFormat="1">
      <alignment vertical="center"/>
    </xf>
    <xf borderId="37" fillId="7" fontId="9" numFmtId="0" xfId="0" applyAlignment="1" applyBorder="1" applyFill="1" applyFont="1">
      <alignment vertical="center"/>
    </xf>
    <xf borderId="40" fillId="7" fontId="9" numFmtId="0" xfId="0" applyAlignment="1" applyBorder="1" applyFill="1" applyFont="1">
      <alignment vertical="center"/>
    </xf>
    <xf borderId="43" fillId="7" fontId="9" numFmtId="0" xfId="0" applyAlignment="1" applyBorder="1" applyFill="1" applyFont="1">
      <alignment vertical="center"/>
    </xf>
    <xf borderId="7" fillId="0" fontId="9" numFmtId="3" xfId="0" applyAlignment="1" applyBorder="1" applyFont="1" applyNumberFormat="1">
      <alignment shrinkToFit="0" vertical="center" wrapText="1"/>
    </xf>
    <xf borderId="7" fillId="0" fontId="9" numFmtId="166" xfId="0" applyAlignment="1" applyBorder="1" applyFont="1" applyNumberFormat="1">
      <alignment shrinkToFit="0" vertical="center" wrapText="1"/>
    </xf>
    <xf borderId="8" fillId="0" fontId="9" numFmtId="3" xfId="0" applyAlignment="1" applyBorder="1" applyFont="1" applyNumberFormat="1">
      <alignment shrinkToFit="0" vertical="center" wrapText="1"/>
    </xf>
    <xf borderId="8" fillId="0" fontId="9" numFmtId="166" xfId="0" applyAlignment="1" applyBorder="1" applyFont="1" applyNumberFormat="1">
      <alignment shrinkToFit="0" vertical="center" wrapText="1"/>
    </xf>
    <xf borderId="9" fillId="0" fontId="9" numFmtId="3" xfId="0" applyAlignment="1" applyBorder="1" applyFont="1" applyNumberFormat="1">
      <alignment shrinkToFit="0" vertical="center" wrapText="1"/>
    </xf>
    <xf borderId="9" fillId="0" fontId="9" numFmtId="166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10">
    <dxf>
      <font>
        <b/>
        <color rgb="FF166534"/>
      </font>
      <fill>
        <patternFill patternType="solid">
          <fgColor rgb="FFDDF3E0"/>
          <bgColor rgb="FFDDF3E0"/>
        </patternFill>
      </fill>
      <border/>
    </dxf>
    <dxf>
      <font>
        <b/>
        <color rgb="FF8A5A00"/>
      </font>
      <fill>
        <patternFill patternType="solid">
          <fgColor rgb="FFFFF0C2"/>
          <bgColor rgb="FFFFF0C2"/>
        </patternFill>
      </fill>
      <border/>
    </dxf>
    <dxf>
      <font>
        <b/>
        <color rgb="FFA61B1B"/>
      </font>
      <fill>
        <patternFill patternType="solid">
          <fgColor rgb="FFFADBD8"/>
          <bgColor rgb="FFFADBD8"/>
        </patternFill>
      </fill>
      <border/>
    </dxf>
    <dxf>
      <font>
        <color rgb="FF425466"/>
      </font>
      <fill>
        <patternFill patternType="solid">
          <fgColor rgb="FFE8EEF5"/>
          <bgColor rgb="FFE8EEF5"/>
        </patternFill>
      </fill>
      <border/>
    </dxf>
    <dxf>
      <font>
        <color rgb="FF5B3A88"/>
      </font>
      <fill>
        <patternFill patternType="solid">
          <fgColor rgb="FFEAE1F5"/>
          <bgColor rgb="FFEAE1F5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C1F0C8"/>
          <bgColor rgb="FFC1F0C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rgb="FFD4D4D4"/>
        </vertical>
        <horizontal style="thin">
          <color rgb="FFD4D4D4"/>
        </horizontal>
      </border>
    </dxf>
  </dxfs>
  <tableStyles count="5">
    <tableStyle count="4" pivot="0" name="Cadastro Unidades-style">
      <tableStyleElement dxfId="6" type="headerRow"/>
      <tableStyleElement dxfId="7" type="firstRowStripe"/>
      <tableStyleElement dxfId="8" type="secondRowStripe"/>
      <tableStyleElement dxfId="9" size="0" type="wholeTable"/>
    </tableStyle>
    <tableStyle count="4" pivot="0" name="Lista Mestra-style">
      <tableStyleElement dxfId="6" type="headerRow"/>
      <tableStyleElement dxfId="7" type="firstRowStripe"/>
      <tableStyleElement dxfId="8" type="secondRowStripe"/>
      <tableStyleElement dxfId="9" size="0" type="wholeTable"/>
    </tableStyle>
    <tableStyle count="4" pivot="0" name="Plano de Auditoria-style">
      <tableStyleElement dxfId="6" type="headerRow"/>
      <tableStyleElement dxfId="7" type="firstRowStripe"/>
      <tableStyleElement dxfId="8" type="secondRowStripe"/>
      <tableStyleElement dxfId="9" size="0" type="wholeTable"/>
    </tableStyle>
    <tableStyle count="4" pivot="0" name="Auditoria Documental-style">
      <tableStyleElement dxfId="6" type="headerRow"/>
      <tableStyleElement dxfId="7" type="firstRowStripe"/>
      <tableStyleElement dxfId="8" type="secondRowStripe"/>
      <tableStyleElement dxfId="9" size="0" type="wholeTable"/>
    </tableStyle>
    <tableStyle count="4" pivot="0" name="Plano de Ação-style">
      <tableStyleElement dxfId="6" type="headerRow"/>
      <tableStyleElement dxfId="7" type="firstRowStripe"/>
      <tableStyleElement dxfId="8" type="secondRowStripe"/>
      <tableStyleElement dxfId="9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Situação dos itens avaliados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156082"/>
              </a:solidFill>
            </c:spPr>
          </c:dPt>
          <c:dPt>
            <c:idx val="1"/>
            <c:spPr>
              <a:solidFill>
                <a:srgbClr val="E97132"/>
              </a:solidFill>
            </c:spPr>
          </c:dPt>
          <c:dPt>
            <c:idx val="2"/>
            <c:spPr>
              <a:solidFill>
                <a:srgbClr val="196B24"/>
              </a:solidFill>
            </c:spPr>
          </c:dPt>
          <c:dPt>
            <c:idx val="3"/>
            <c:spPr>
              <a:solidFill>
                <a:srgbClr val="0F9ED5"/>
              </a:solidFill>
            </c:spPr>
          </c:dPt>
          <c:dPt>
            <c:idx val="4"/>
            <c:spPr>
              <a:solidFill>
                <a:srgbClr val="A02B9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Dashboard!$T$4:$T$8</c:f>
            </c:strRef>
          </c:cat>
          <c:val>
            <c:numRef>
              <c:f>Dashboard!$U$4:$U$8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Abrangência do Checklist por seção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Itens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Dashboard!$T$12:$T$18</c:f>
            </c:strRef>
          </c:cat>
          <c:val>
            <c:numRef>
              <c:f>Dashboard!$U$12:$U$18</c:f>
              <c:numCache/>
            </c:numRef>
          </c:val>
        </c:ser>
        <c:axId val="284146027"/>
        <c:axId val="2086684252"/>
      </c:barChart>
      <c:catAx>
        <c:axId val="2841460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600">
                <a:solidFill>
                  <a:srgbClr val="000000"/>
                </a:solidFill>
                <a:latin typeface="+mn-lt"/>
              </a:defRPr>
            </a:pPr>
          </a:p>
        </c:txPr>
        <c:crossAx val="2086684252"/>
      </c:catAx>
      <c:valAx>
        <c:axId val="208668425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4146027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Unidades cadastradas por distrito e vínculo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Municipal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Dashboard!$T$22:$T$29</c:f>
            </c:strRef>
          </c:cat>
          <c:val>
            <c:numRef>
              <c:f>Dashboard!$U$22:$U$29</c:f>
              <c:numCache/>
            </c:numRef>
          </c:val>
        </c:ser>
        <c:ser>
          <c:idx val="1"/>
          <c:order val="1"/>
          <c:tx>
            <c:v>OSC/Conveniada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Dashboard!$T$22:$T$29</c:f>
            </c:strRef>
          </c:cat>
          <c:val>
            <c:numRef>
              <c:f>Dashboard!$V$22:$V$29</c:f>
              <c:numCache/>
            </c:numRef>
          </c:val>
        </c:ser>
        <c:axId val="1560184775"/>
        <c:axId val="944785029"/>
      </c:barChart>
      <c:catAx>
        <c:axId val="1560184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600">
                <a:solidFill>
                  <a:srgbClr val="000000"/>
                </a:solidFill>
                <a:latin typeface="+mn-lt"/>
              </a:defRPr>
            </a:pPr>
          </a:p>
        </c:txPr>
        <c:crossAx val="944785029"/>
      </c:catAx>
      <c:valAx>
        <c:axId val="94478502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0184775"/>
      </c:valAx>
    </c:plotArea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0</xdr:rowOff>
    </xdr:from>
    <xdr:ext cx="6477000" cy="2533650"/>
    <xdr:graphicFrame>
      <xdr:nvGraphicFramePr>
        <xdr:cNvPr id="51225534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285750</xdr:colOff>
      <xdr:row>10</xdr:row>
      <xdr:rowOff>9525</xdr:rowOff>
    </xdr:from>
    <xdr:ext cx="8839200" cy="2533650"/>
    <xdr:graphicFrame>
      <xdr:nvGraphicFramePr>
        <xdr:cNvPr id="45397567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11820525" cy="3438525"/>
    <xdr:graphicFrame>
      <xdr:nvGraphicFramePr>
        <xdr:cNvPr id="1092846861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5:AA222" sheet="Cadastro Unidades"/>
  </cacheSource>
  <cacheFields>
    <cacheField name="Distrito" numFmtId="0">
      <sharedItems>
        <s v="DABEL"/>
        <s v="DABEN"/>
        <s v="DAENT"/>
        <s v="DAGUA"/>
        <s v="DAICO"/>
        <s v="DAMOS"/>
        <s v="DAOUT"/>
        <s v="DASAC"/>
      </sharedItems>
    </cacheField>
    <cacheField name="Bairro" numFmtId="0">
      <sharedItems>
        <s v="BATISTA CAMPOS"/>
        <s v="GUAMA"/>
        <s v="JURUNAS"/>
        <s v="MARCO"/>
        <s v="NAZARE"/>
        <s v="SAO BRAS"/>
        <s v="TERRA FIRME"/>
        <s v="BENGUI"/>
        <s v="CABANAGEM"/>
        <s v="COQUEIRO"/>
        <s v="MANGUEIRAO"/>
        <s v="PARQUE VERDE"/>
        <s v="PRATINHA - ICOARACI"/>
        <s v="SAO CLEMENTE"/>
        <s v="TAPANA - ICOARACI"/>
        <s v="UNA"/>
        <s v="AGUAS LINDAS"/>
        <s v="AURA"/>
        <s v="CASTANHEIRA"/>
        <s v="CURIO-UTINGA"/>
        <s v="MARACANGALHA"/>
        <s v="MARAMBAIA"/>
        <s v="SOUZA"/>
        <s v="CANUDOS"/>
        <s v="CONDOR"/>
        <s v="CREMACAO"/>
        <s v="AGUAS NEGRAS - ICOARACI"/>
        <s v="AGULHA - ICOARACI"/>
        <s v="CAMPINA DE ICOARACI - ICOARACI"/>
        <s v="CRUZEIRO - ICOARACI"/>
        <s v="MARACACUERA - ICOARACI"/>
        <s v="PARQUE GUAJARA - ICOARACI"/>
        <s v="PONTA GROSSA - ICOARACI"/>
        <s v="TENONE"/>
        <s v="AREA RURAL DE BELEM"/>
        <s v="ARIRAMBA - MOSQUEIRO"/>
        <s v="BAIA DO SOL - MOSQUEIRO"/>
        <s v="CARANANDUBA - MOSQUEIRO"/>
        <s v="CHAPEU VIRADO - MOSQUEIRO"/>
        <s v="FAROL - MOSQUEIRO"/>
        <s v="MARACAJA - MOSQUEIRO"/>
        <s v="SAO FRANCISCO - MOSQUEIRO"/>
        <s v="SUCURIJUQUARA - MOSQUEIRO"/>
        <s v="VILA - MOSQUEIRO"/>
        <s v="AGUA BOA - OUTEIRO"/>
        <s v="BRASILIA - OUTEIRO"/>
        <s v="COTIJUBA"/>
        <s v="ITAITEUA - OUTEIRO"/>
        <s v="SAO JOAO DO OUTEIRO - OUTEIRO"/>
        <s v="BARREIRO"/>
        <s v="FATIMA"/>
        <s v="PEDREIRA"/>
        <s v="SACRAMENTA"/>
        <s v="TELEGRAFO SEM FIO"/>
      </sharedItems>
    </cacheField>
    <cacheField name="Rede/Vínculo" numFmtId="0">
      <sharedItems>
        <s v="MUNICIPAL"/>
        <s v="OSC/CONVENIADA"/>
      </sharedItems>
    </cacheField>
    <cacheField name="Código INEP/MEC" numFmtId="49">
      <sharedItems>
        <s v="15548058"/>
        <s v="15040801"/>
        <s v="15040720"/>
        <s v="15040860"/>
        <s v="15182754"/>
        <s v="15181677"/>
        <s v="15547299"/>
        <s v="15174557"/>
        <s v="15040968"/>
        <s v="15176487"/>
        <s v="15041743"/>
        <s v="15159477"/>
        <s v="15040887"/>
        <s v="15040909"/>
        <s v="15174603"/>
        <s v="15040640"/>
        <s v="15040704"/>
        <s v="15543234"/>
        <s v="15170853"/>
        <s v="15574172"/>
        <s v="15173860"/>
        <s v="15182258"/>
        <s v="15535827"/>
        <s v="15181642"/>
        <s v="15181863"/>
        <s v="15181685"/>
        <s v="15169979"/>
        <s v="15223000"/>
        <s v="15164160"/>
        <s v="15558363"/>
        <s v="15159469"/>
        <s v="15543285"/>
        <s v="15558347"/>
        <s v="15152324"/>
        <s v="15043088"/>
        <s v="15171760"/>
        <s v="15558304"/>
        <s v="15569632"/>
        <s v="15161544"/>
        <s v="15166821"/>
        <s v="15173844"/>
        <s v="15547272"/>
        <s v="15181774"/>
        <s v="15170845"/>
        <s v="15586022"/>
        <s v="15174565"/>
        <s v="15096378"/>
        <s v="15182185"/>
        <s v="15043070"/>
        <s v="15563464"/>
        <s v="15043029"/>
        <s v="15181979"/>
        <s v="15167690"/>
        <s v="15237001"/>
        <s v="15175570"/>
        <s v="15170829"/>
        <s v="15181901"/>
        <s v="15181723"/>
        <s v="15175626"/>
        <s v="15167488"/>
        <s v="15181847"/>
        <s v="15573826"/>
        <s v="15161560"/>
        <s v="15166813"/>
        <s v="15181880"/>
        <s v="15167380"/>
        <s v="15563472"/>
        <s v="15182452"/>
        <s v="15152316"/>
        <s v="15558355"/>
        <s v="15577767"/>
        <s v="15043592"/>
        <s v="15589021"/>
        <s v="15142264"/>
        <s v="15152332"/>
        <s v="15040992"/>
        <s v="15181871"/>
        <s v="15168468"/>
        <s v="15181669"/>
        <s v="15152030"/>
        <s v="15040879"/>
        <s v="15040836"/>
        <s v="15040976"/>
        <s v="15167640"/>
        <s v="15181790"/>
        <s v="15543382"/>
        <s v="15098338"/>
        <s v="15572137"/>
        <s v="15098125"/>
        <s v="15040682"/>
        <s v="15167542"/>
        <s v="15558282"/>
        <s v="15558320"/>
        <s v="15040950"/>
        <s v="15175588"/>
        <s v="15181936"/>
        <s v="15152340"/>
        <s v="15182290"/>
        <s v="15040712"/>
        <s v="15181820"/>
        <s v="15543390"/>
        <s v="15170934"/>
        <s v="15040780"/>
        <s v="15182606"/>
        <s v="15173739"/>
        <s v="15040798"/>
        <s v="15543374"/>
        <s v="15564215"/>
        <s v="15181740"/>
        <s v="15040674"/>
        <s v="15155170"/>
        <s v="15181634"/>
        <s v="15040984"/>
        <s v="15543218"/>
        <s v="15166830"/>
        <s v="15043061"/>
        <s v="15042995"/>
        <s v="15519430"/>
        <s v="15223205"/>
        <s v="15174735"/>
        <s v="15559343"/>
        <s v="15547302"/>
        <s v="15166368"/>
        <s v="15043002"/>
        <s v="15043037"/>
        <s v="15543323"/>
        <s v="15174620"/>
        <s v="15582051"/>
        <s v="15173828"/>
        <s v="15173836"/>
        <s v="15173801"/>
        <s v="15173810"/>
        <s v="15157245"/>
        <s v="15182274"/>
        <s v="15174751"/>
        <s v="15166376"/>
        <s v="15548066"/>
        <s v="15168484"/>
        <s v="15168476"/>
        <s v="15170861"/>
        <s v="15569616"/>
        <s v="15558290"/>
        <s v="15224040"/>
        <s v="15140600"/>
        <s v="15173879"/>
        <s v="15043410"/>
        <s v="15159434"/>
        <s v="15043347"/>
        <s v="15543358"/>
        <s v="15043371"/>
        <s v="15043274"/>
        <s v="15543404"/>
        <s v="15159442"/>
        <s v="15543315"/>
        <s v="15043401"/>
        <s v="15043428"/>
        <s v="15043355"/>
        <s v="15167402"/>
        <s v="15167658"/>
        <s v="15043398"/>
        <s v="15152260"/>
        <s v="15543242"/>
        <s v="15159450"/>
        <s v="15181855"/>
        <s v="15181766"/>
        <s v="15172392"/>
        <s v="15161552"/>
        <s v="15182584"/>
        <s v="15569624"/>
        <s v="15167763"/>
        <s v="15219038"/>
        <s v="15043053"/>
        <s v="15173895"/>
        <s v="15140759"/>
        <s v="15558312"/>
        <s v="15543307"/>
        <s v="15516512"/>
        <s v="15040690"/>
        <s v="15167356"/>
        <s v="15167348"/>
        <s v="15040933"/>
        <s v="15040844"/>
        <s v="15543412"/>
        <s v="15181693"/>
        <s v="15041123"/>
        <s v="15521907"/>
        <s v="15181731"/>
        <s v="15039269"/>
        <s v="15181782"/>
        <s v="15040941"/>
        <s v="15174573"/>
        <s v="15040852"/>
        <s v="15040917"/>
        <s v="15543226"/>
      </sharedItems>
    </cacheField>
    <cacheField name="Nome da unidade" numFmtId="0">
      <sharedItems>
        <s v="ESCOLA MUNICIPAL PROFESSORA MARIA AUXILIADORA MARTINS GONCALVES"/>
        <s v="ANEXO BARAO DE MAMORE DA EM FRANCISCO DA SILVA NUNES"/>
        <s v="ESCOLA MUNICIPAL PROF MIGUEL PERNAMBUCO FILHO"/>
        <s v="ANEXO CASA DA CRIANCA SANTA INES DA EM ALZIRA PERNAMBUCO"/>
        <s v="CENTRO EDUCACIONAL ARTE DE EDUCAR OSC ANEXO INSTITUTO ACELERA AMAZONIA"/>
        <s v="ESCOLA MUNICIPAL ALZIRA PERNAMBUCO"/>
        <s v="ESCOLA MUNICIPAL LIONS CLUBE DE BELEM"/>
        <s v="ESCOLA MUNICIPAL PROFESSORA LUCIA SOARES CASTRO"/>
        <s v="ESCOLA MUNICIPAL PROFESSORA RAIMUNDA LUCIA GUERREIRO"/>
        <s v="ESCOLA MUNICIPAL RUY DA SILVEIRA BRITTO"/>
        <s v="CENTRO DE REFERENCIA DE EDUCACAO INFANTIL PROF ORLANDO BITAR"/>
        <s v="INSTITUTO FELIPE SMALDONE BELEM"/>
        <s v="CRECHE CASA LAR CORDEIRINHO DE DEUS"/>
        <s v="ESCOLA MUNICIPAL BENVINDA DE FRANCA MESSIAS"/>
        <s v="ESCOLA MUNICIPAL ERNESTINA RODRIGUES"/>
        <s v="ESCOLA MUNICIPAL FRANCISCO DA SILVA NUNES"/>
        <s v="ANEXO SOLAR ACALANTO DA EM BENVINDA DE FRANCA MESSIAS"/>
        <s v="CENTRO COMUNITARIO NOSSA SENHORA DO PERPETUO SOCORRO"/>
        <s v="ESCOLA MUNICIPAL AUGUSTO MEIRA FILHO"/>
        <s v="ESCOLA MUNICIPAL MARIA AMORAS DE OLIVEIRA"/>
        <s v="ESCOLA MUNICIPAL PROFESSORA ANGELICA DO CARMO SANTOS PAIVA"/>
        <s v="ESCOLA MUNICIPAL PROFESSORA GILVANIA MARCIA BARROS DA SILVA"/>
        <s v="INSTITUTO UNIDOS VENCEREMOS"/>
        <s v="CENTRO EDUCACIONAL DE ENSINO INFANTIL MUNDO ENCANTADO"/>
        <s v="CENTRO EDUCACIONAL EU AMO EU CUIDO"/>
        <s v="ESCOLA MUNICIPAL DEPUTADO JOAO CARLOS BATISTA"/>
        <s v="ESCOLA MUNICIPAL ALANA DE SOUZA BARBOSA I"/>
        <s v="ESCOLA MUNICIPAL ALANA DE SOUZA BARBOSA II"/>
        <s v="ESCOLA MUNICIPAL CRISTO REDENTOR"/>
        <s v="ESCOLA MUNICIPAL PADRE BRUNO SECHI"/>
        <s v="ESCOLA MUNICIPAL PROFESSORA ALANA DE SOUZA BARBOZA"/>
        <s v="ESCOLA MUNICIPAL SAO GASPAR"/>
        <s v="ESCOLA MUNICIPAL SILVIO LEANDRO"/>
        <s v="ASSOCIACAO BENEFICENTE SAO CARLOS DO BRASIL"/>
        <s v="ESCOLA MUNICIPAL CATALINA I"/>
        <s v="ESCOLA MUNICIPAL CATALINA II"/>
        <s v="ESCOLA MUNICIPAL CATALINA III"/>
        <s v="ESCOLA MUNICIPAL WALTER LEITE CAMINHA"/>
        <s v="SISTEMA DE ENSINO INFANTIL PAULO GUILHERME TOMAZ"/>
        <s v="ANEXO FLORESTAN FERNANDES DA EM FLORESTAN FERNANDES"/>
        <s v="ESCOLA MUNICIPAL FLORESTAN FERNANDES"/>
        <s v="ESCOLA MUNICIPAL CORDOLINA FONTELLES DE LIMA"/>
        <s v="ESCOLA MUNICIPAL DUAS IRMAS BIANCA E ADRIELY"/>
        <s v="ESCOLA MUNICIPAL NOVA ALIANCA"/>
        <s v="ESCOLA MUNICIPAL PRATINHA"/>
        <s v="ESCOLA MUNICIPAL PRATINHA II"/>
        <s v="ESCOLA MUNICIPAL SAO JOAO PAULO II"/>
        <s v="ESCOLA MUNICIPAL PROFESSORA CLEONICE OLIVEIRA CONCEICAO"/>
        <s v="ASSOCIACAO C DO BAIRRO DO TAPANA"/>
        <s v="ASSOCIACAO DE MORADORES DO RESIDENCIAL BOM JESUS"/>
        <s v="C C EDUC SAO FRANCISCO DE ASSIS"/>
        <s v="CSE MEU AMIGO JHON TAPANA OSC ANEXO INSTITUTO JUNTOS E ALIANCADOS"/>
        <s v="ESCOLA MUNICIPAL GABRIEL LAGE DA SILVA"/>
        <s v="ESCOLA MUNICIPAL JOSE ALVES CUNHA"/>
        <s v="ESCOLA MUNICIPAL MARIA HELOISA DE CASTRO"/>
        <s v="ESCOLA MUNICIPAL NOSSA SENHORA APARECIDA"/>
        <s v="ESCOLA MUNICIPAL NOSSO LAR"/>
        <s v="ESCOLA MUNICIPAL PROFESSORA ALDA EUTROPIO DE SOUZA"/>
        <s v="ESCOLA MUNICIPAL PROFESSORA ALDAIR NERI LOPES"/>
        <s v="ESCOLA MUNICIPAL PROFESSORA ELVIRA SACRAMENTO DE QUADROS"/>
        <s v="ESCOLA MUNICIPAL PROFESSORA PERPETUO SOCORRO JESUS FIGUEIREDO"/>
        <s v="ESCOLA MUNICIPAL NOVA ESPERANCA"/>
        <s v="CRECHE ESCOLA IRIS CRIANCAS AOS OLHOS DE DEUS"/>
        <s v="ESCOLA MUNICIPAL JARDIM NOVA VIDA"/>
        <s v="ESCOLA MUNICIPAL MARIA DA CONCEICAO DE SOUZA"/>
        <s v="ESCOLA MUNICIPAL OLGA BENARIO"/>
        <s v="ESCOLA MUNICIPAL PARQUE BOLONHA"/>
        <s v="ESCOLA MUNICIPAL VERDEJANTE"/>
        <s v="ESCOLA MUNICIPAL VERDEJANTE I"/>
        <s v="ESCOLA MUNICIPAL SANTANA DO AURA"/>
        <s v="ANEXO ARIANA LIVIA AMOEDO DE CASTRO DA EM PROFESSORA TEREZINHA SOUZA"/>
        <s v="CENTRO EDUCACIONAL FAROL DO SABER"/>
        <s v="ESCOLA MUNICIPAL PROFESSORA TEREZINHA SOUZA"/>
        <s v="ESCOLA MUNICIPAL ROSEMARY JORGE"/>
        <s v="CSE MEU AMIGO JHON CURIO UTINGA OSC ANEXO INSTITUTO ACELERA AMAZONIA"/>
        <s v="ESCOLA MUNICIPAL JESUS MARIA E JOSE"/>
        <s v="ESCOLA MUNICIPAL WILSON BAHIA DE SOUZA"/>
        <s v="ESCOLA MUNICIPAL PROFESSORA IDA OLIVEIRA"/>
        <s v="ESCOLA MUNICIPAL PROVIDENCIA"/>
        <s v="ESCOLA MUNICIPAL PALMIRA LINS DE CARVALHO"/>
        <s v="ESCOLA MUNICIPAL PROFESSORA AURORA GUIMARES VIEIRA"/>
        <s v="ESCOLA MUNICIPAL REPUBLICA DE PORTUGAL"/>
        <s v="ESCOLA MUNICIPAL SANTA RITA DE CASSIA"/>
        <s v="ESCOLA MUNICIPAL PAULO ALMEIDA BRASIL"/>
        <s v="ESCOLA MUNICIPAL SANTO AGOSTINHO DA ALDEIA"/>
        <s v="ESCOLA MUNICIPAL ALLAN KARDEC"/>
        <s v="ESCOLA MUNICIPAL ANTONIO CARVALHO BRASIL"/>
        <s v="ESCOLA MUNICIPAL NESTOR NONATO LIMA"/>
        <s v="ESCOLA MUNICIPAL SILVIO NASCIMENTO"/>
        <s v="ESCOLA MUNICIPAL ENCANTO DO SABER"/>
        <s v="ESCOLA MUNICIPAL FRANCISCO DE ASSIS"/>
        <s v="ESCOLA MUNICIPAL VENUZINA MARINHO DE SOUZA"/>
        <s v="ASSOCIACAO DE PAIS E EDUCADORES MOARANA"/>
        <s v="ASSOCIACAO DOS MORADORES DO BAIRRO DO GUAMA"/>
        <s v="CENTRO CATEQUETICO DE PROMOCAO HUMANA SANTA IZABEL DA HUNGRIA"/>
        <s v="ESCOLA MUNICIPAL AMALIA PAUMGARTTEN"/>
        <s v="ESCOLA MUNICIPAL DIREITO DE SER CRIANCA"/>
        <s v="ESCOLA MUNICIPAL EDSON LUIS"/>
        <s v="ESCOLA MUNICIPAL GUAMA"/>
        <s v="ESCOLA MUNICIPAL PADRE LEANDRO PINHEIRO"/>
        <s v="ESCOLA MUNICIPAL PROFESSOR LUIZ CARLOS ACACIO BARBOSA"/>
        <s v="ESCOLA MUNICIPAL PROFESSORA JOANA DARC GUIMARAES DE OLIVEIRA"/>
        <s v="ESCOLA MUNICIPAL SANTA ROSA"/>
        <s v="INSTITUTO MARIA E MARIAS"/>
        <s v="ANEXO C C OSVALDO DE CALDAS BRITO DA EM NESTOR NONATO LIMA"/>
        <s v="ANEXO GRUPO C UNIAO DA EM NESTOR NONATO LIMA"/>
        <s v="ESCOLA MUNICIPAL HONORATO FILGUEIRAS"/>
        <s v="ESCOLA MUNICIPAL HONORATO FILGUEIRAS I"/>
        <s v="ESCOLA MUNICIPAL MONTE ALEGRE"/>
        <s v="ESCOLA MUNICIPAL PROFESSORA ROSENIL CORDEIRO DA SILVA"/>
        <s v="ESCOLA MUNICIPAL ROTARY"/>
        <s v="INSTITUTO PEDRO VIEIRA"/>
        <s v="ASSOCIACAO SANTA RITA DE CASSIA"/>
        <s v="ESCOLA MUNICIPAL MANUELA FREITAS"/>
        <s v="ESCOLA MUNICIPAL SANTO AGOSTINHO"/>
        <s v="ASSOCIACAO DOS AMIGOS DA TERRA FIRME"/>
        <s v="ESCOLA MUNICIPAL BETINHO"/>
        <s v="ESCOLA MUNICIPAL MARIA STELLINA VALMONT"/>
        <s v="ESCOLA MUNICIPAL PARQUE AMAZONIA"/>
        <s v="ESCOLA MUNICIPAL SAO FRANCISCO DE ASSIS"/>
        <s v="ESCOLA MUNICIPAL SOLERNO MOREIRA"/>
        <s v="ESCOLA MUNICIPAL TERRA FIRME"/>
        <s v="INSTITUTO JUNTOS E ALIANCADOS"/>
        <s v="ESCOLA MUNICIPAL SABINO BARRETO"/>
        <s v="ESCOLA MUNICIPAL LICEU MESTRE RAIMUNDO CARDOSO"/>
        <s v="ESCOLA MUNICIPAL MARIA MADALENA CORREA RAAD"/>
        <s v="ESCOLA MUNICIPAL OGILVANISE MOREIRA DE MOURA"/>
        <s v="ESCOLA MUNICIPAL PROFESSORA LAIS FONTOURA ADERNE"/>
        <s v="SOCIEDADE COMUNITARIA SAO JOAO BATISTA"/>
        <s v="C C SAO PAULO"/>
        <s v="ESCOLA MUNICIPAL COHAB III"/>
        <s v="ESCOLA MUNICIPAL GENESIS"/>
        <s v="ANEXO ESCOLA MESTRA IDALINA RODRIGUES PEREIRA DA EM OGILVANISE MOREIRA DE MOURA"/>
        <s v="ESCOLA MUNICIPAL ALFREDO CHAVES"/>
        <s v="ESCOLA MUNICIPAL AVERTANO ROCHA"/>
        <s v="ESCOLA MUNICIPAL CASA DA AMIZADE"/>
        <s v="CENTRO EDUCACIONAL MUNDO DA IMAGINACAO"/>
        <s v="CENTRO SOCIAL E CULTURAL DR OSVALDO MELO"/>
        <s v="ESCOLA MUNICIPAL PROFA VANDA CELIA FERREIRA DE SOUZA"/>
        <s v="ESCOLA MUNICIPAL PROFESSORA CIRIA DE NAZARE TULOSA DOS SANTOS"/>
        <s v="ESCOLA MUNICIPAL PROFESSORA LUZMARINA DE MELO MUNIZ"/>
        <s v="ESCOLA MUNICIPAL PROFESSORA MARIA DE BELEM CAVALCANTE LESSA"/>
        <s v="SOCIEDADE BENEFICENTE PEQUENINOS DE CRISTO CRECHE EDELBURGA QUEIROZ"/>
        <s v="CRECHE MIRANDA"/>
        <s v="CSE MEU AMIGO JHON ICOARACI OSC ANEXO INSTITUTO ACELERA AMAZONIA"/>
        <s v="ESCOLA COMUNITARIA DE ENSINO INFANTIL ALAMEDA DAS PALMEIRAS"/>
        <s v="ESCOLA MUNICIPAL AYRTON SENNA"/>
        <s v="ESCOLA MUNICIPAL CIRO PIMENTA"/>
        <s v="ESCOLA MUNICIPAL PROFESSORA RENATA SALES PENA"/>
        <s v="ESCOLA MUNICIPAL CASTANHEIRAS"/>
        <s v="ESCOLA MUNICIPAL MARIA LUCIA OLIVEIRA MONTEIRO"/>
        <s v="ESCOLA MUNICIPAL PROFESSOR JAIME DA COSTA TEIXEIRA"/>
        <s v="ESCOLA MUNICIPAL PROFESSOR PAULO FREIRE"/>
        <s v="ESCOLA MUNICIPAL PROFESSORA RITA NERY"/>
        <s v="ESCOLA MUNICIPAL THEODOR BADOTTI"/>
        <s v="FUNDACAO CRIANCA FELIZ"/>
        <s v="ESCOLA MUNICIPAL DE EDUCACAO DO CAMPO MARIA CLEMILDES"/>
        <s v="ESCOLA MUNICIPAL DE EDUCACAO DO CAMPO MARIA MADALENA TRAVASSOS"/>
        <s v="ESCOLA MUNICIPAL ANNA BARREAU MENINEA"/>
        <s v="ESCOLA MUNICIPAL BACURI"/>
        <s v="ESCOLA MUNICIPAL LAURO CHAVES"/>
        <s v="CENTRO EDUCACIONAL MOSQUEIRO OSC ANEXO DA ASSOCIACAO DE MORADORES DO B GUAMA"/>
        <s v="ESCOLA MUNICIPAL ABEL MARTINS"/>
        <s v="ESCOLA MUNICIPAL ROTARY CLUB"/>
        <s v="FUNDACAO ACOLHER"/>
        <s v="INSTITUTO ACELERA AMAZONIA"/>
        <s v="CENTRO EDUCACIONAL PEDRO VIEIRA OSC ANEXO DO INSTITUTO PEDRO VIEIRA"/>
        <s v="ESCOLA MUNICIPAL PANAPANA"/>
        <s v="ESCOLA MUNICIPAL DONATILA SANTANA LOPES"/>
        <s v="ESCOLA MUNICIPAL REMIGIO FERNANDEZ"/>
        <s v="ESCOLA MUNICIPAL MAROJA NETO"/>
        <s v="ESCOLA MUNICIPAL MOSQUEIRO"/>
        <s v="ESCOLA MUNICIPAL SAO FRANCISCO"/>
        <s v="ESCOLA MUNICIPAL DE EDUCACAO QUILOMBOLA DE SUCURIJUQUARA ARLINDA GOMES"/>
        <s v="ESCOLA MUNICIPAL MARACAJA"/>
        <s v="ESCOLA MUNICIPAL ITAITEUA"/>
        <s v="ESCOLA MUNICIPAL PROFESSOR PEDRO DEMO"/>
        <s v="ANEXO JAMACI DA EM FAVEIRA"/>
        <s v="ANEXO JUTUBA DA EM FAVEIRA"/>
        <s v="ANEXO NSRA DOS NAVEGANTES VARZEA DA EM DE EDUC DO CAMPO SAO JOSE"/>
        <s v="ANEXO SANTO ANTONIO DA EM DE EDUC DO CAMPO SEBASTIAO DOS S QUARESMA"/>
        <s v="ESCOLA MUNICIPAL DE EDUCACAO DO CAMPO MILTON MONTE"/>
        <s v="ESCOLA MUNICIPAL DE EDUCACAO DO CAMPO SAO JOSE"/>
        <s v="ESCOLA MUNICIPAL DE EDUCACAO DO CAMPO SEBASTIAO DOS SANTOS QUARESMA"/>
        <s v="ASSOCIACAO DOS PRODUTORES RURAIS DE CARATATEUA"/>
        <s v="ESCOLA MUNICIPAL PROFESSOR HELDER FIALHO DIAS"/>
        <s v="ANEXO FLEXEIRA DA EM FAVEIRA"/>
        <s v="ANEXO SERINGAL DA EM FAVEIRA"/>
        <s v="ESCOLA MUNICIPAL COTIJUBA"/>
        <s v="ESCOLA MUNICIPAL FAVEIRA"/>
        <s v="ESCOLA MUNICIPAL CASA DA PESCA"/>
        <s v="ESCOLA MUNICIPAL MONSENHOR JOSE MARIA AZEVEDO"/>
        <s v="ESCOLA MUNICIPAL PROFESSORA RENILDES NUNES BATISTA"/>
        <s v="CSE MEU AMIGO JHON OUTEIRO OSC ANEXO INSTITUTO ACELERA AMAZONIA"/>
        <s v="ESCOLA MUNICIPAL BOSQUE PROF EIDORFE MOREIRA"/>
        <s v="ESCOLA MUNICIPAL ERE"/>
        <s v="ESCOLA MUNICIPAL IZA CUNHA"/>
        <s v="ACAO SOCIAL DA MATINHA"/>
        <s v="ESCOLA MUNICIPAL AMANCIA PANTOJA"/>
        <s v="ESCOLA MUNICIPAL CANTO DO UIRAPURU"/>
        <s v="ESCOLA MUNICIPAL REVOAR DAS ANDORINHAS"/>
        <s v="ESCOLA MUNICIPAL JOSINO VIANA"/>
        <s v="ESCOLA MUNICIPAL PALMIRA DE OLIVEIRA GABRIEL"/>
        <s v="ESCOLA MUNICIPAL SACRAMENTA"/>
        <s v="ESCOLA MUNICIPAL VISCONDE DE INHAUMA"/>
        <s v="ANEXO C C SAO JOSE DA EM COMANDANTE KLAUTAU"/>
        <s v="ANEXO PROF SUZETE PERES MAXWELL DA EM ERE"/>
        <s v="C C UNIAO DOS AMIGOS DO BAIRRO DA SACRAMENTA"/>
        <s v="ESCOLA MUNICIPAL ANETE MONTEIRO RODRIGUES"/>
        <s v="ESCOLA MUNICIPAL COMANDANTE KLAUTAU"/>
        <s v="ESCOLA MUNICIPAL INES MAROJA"/>
        <s v="ESCOLA MUNICIPAL JOAO NELSON RIBEIRO I"/>
        <s v="ESCOLA MUNICIPAL MARIA LUIZA PINTO AMARAL"/>
        <s v="ASSOCIACAO DE MORADORES DAS PASS SANTA RITA E JOANA DARC"/>
        <s v="ESCOLA MUNICIPAL ALMERINDO TRINDADE"/>
        <s v="ESCOLA MUNICIPAL JOAO NELSON RIBEIRO"/>
        <s v="ESCOLA MUNICIPAL PERPETUO SOCORRO"/>
      </sharedItems>
    </cacheField>
    <cacheField name="Situação" numFmtId="0">
      <sharedItems>
        <s v="ATIVA"/>
      </sharedItems>
    </cacheField>
    <cacheField name="Tipo de unidade" numFmtId="0">
      <sharedItems>
        <s v="SEDE"/>
        <s v="ANEXO"/>
        <s v="ESCOLA"/>
      </sharedItems>
    </cacheField>
    <cacheField name="Distrito do anexo" numFmtId="0">
      <sharedItems containsBlank="1">
        <s v="DABEL"/>
        <m/>
        <s v="DABEN"/>
        <s v="DAENT"/>
        <s v="DANET"/>
        <s v="DAGUA"/>
        <s v="DAICO"/>
        <s v="DAMOS"/>
        <s v="DAOUT"/>
        <s v="DASAC"/>
      </sharedItems>
    </cacheField>
    <cacheField name="Tipo do prédio" numFmtId="0">
      <sharedItems containsBlank="1">
        <s v="MUNICIPAL"/>
        <m/>
        <s v="CEDIDO"/>
      </sharedItems>
    </cacheField>
    <cacheField name="Tipo de contrato" numFmtId="0">
      <sharedItems>
        <s v="ALUGUEL"/>
        <s v="PROPRIA"/>
        <s v="SUBVENÇÃO"/>
        <s v="COMODATO"/>
        <s v="PROPRIO"/>
      </sharedItems>
    </cacheField>
    <cacheField name="Zona" numFmtId="0">
      <sharedItems>
        <s v="URBANA"/>
        <s v="RURAL"/>
      </sharedItems>
    </cacheField>
    <cacheField name="Endereço" numFmtId="0">
      <sharedItems>
        <s v="RUA SAO MIGUEL"/>
        <s v="TRAVESSA QUATORZE DE ABRIL"/>
        <s v="AVENIDA ROBERTO CAMELIER"/>
        <s v="AVENIDA JOAO PAULO II"/>
        <s v="PASSAGEM LINDOLFO COLLOR"/>
        <s v="TRAVESSA PEREBEBUI"/>
        <s v="PASSAGEM SAO JOSE"/>
        <s v="TRAVESSA LOMAS VALENTINAS"/>
        <s v="TRAVESSA DOUTOR ENEAS PINHEIRO"/>
        <s v="AVENIDA GOVERNADOR JOSE MALCHER"/>
        <s v="TRAVESSA QUATORZE DE MARCO"/>
        <s v="TRAVESSA FRANCISCO CALDEIRA CASTELO BRANCO"/>
        <s v="PRACA FLORIANO PEIXOTO"/>
        <s v="PASSAGEM ALBERTO ENGELHARD"/>
        <s v="PASSAGEM INDEPENDENCIA"/>
        <s v="RUA OLAVO NUNES"/>
        <s v="RUA LAMEIRA BITTENCOURT"/>
        <s v="PASSAGEM SAO PEDRO"/>
        <s v="RUA SAO BENTO"/>
        <s v="RUA SAO CLEMENTE"/>
        <s v="RUA SAO PAULO"/>
        <s v="ALAMEDA ADRIANO ANDRADE"/>
        <s v="TRAVESSA CRISTINA CARDOSO"/>
        <s v="ALAMEDA PRIMAVERA"/>
        <s v="RUA ESPERANTISTA"/>
        <s v="PASSAGEM COMERCIARIOS"/>
        <s v="TRAVESSA WE 8"/>
        <s v="QUADRA VINTE E SETE"/>
        <s v="RUA B"/>
        <s v="RODOVIA MARIO COVAS"/>
        <s v="AVENIDA MANGUEIRAO"/>
        <s v="TRAVESSA QUATRO"/>
        <s v="QUADRA NOVE"/>
        <s v="TRAVESSA SARGENTO FAVARRO"/>
        <s v="AVENIDA MAJOR AVIADOR SILVA FILHO"/>
        <s v="RUA CHICO MENDES"/>
        <s v="PASSAGEM SARGENTO GETULIO"/>
        <s v="RUA SAO VICENTE DE PAULA"/>
        <s v="RUA DOROTHY"/>
        <s v="PASSAGEM PROFETA ISAIAS"/>
        <s v="RODOVIA ARTUR BERNARDES"/>
        <s v="RUA DEZESSEIS DE AGOSTO"/>
        <s v="RUA YAMADA"/>
        <s v="RUA NOVA"/>
        <s v="RUA ALMIRANTE TAMANDARE"/>
        <s v="RUA PRESIDENTE DUTRA"/>
        <s v="RUA IRMA ADELAIDE"/>
        <s v="RUA SANTOS DOS SANTOS"/>
        <s v="ESTRADA DO TAPANA"/>
        <s v="RUA INDEPENDENCIA"/>
        <s v="RUA PRESIDENTE CASTELO BRANCO"/>
        <s v="ALAMEDA SUCUPIRA"/>
        <s v="ALAMEDA AMAZONIA"/>
        <s v="ALAMEDA J"/>
        <s v="RODOVIA TRANSCOQUEIRO"/>
        <s v="RUA OITO DE MARCO"/>
        <s v="RUA DO FIO"/>
        <s v="RUA ROSA DE LUXEMBURGO"/>
        <s v="RUA OSVALDO CRUZ"/>
        <s v="QUADRA QUATRO"/>
        <s v="ESTRADA SANTANA DO AURA"/>
        <s v="RUA JOSE ASSEGAWA"/>
        <s v="RODOVIA BR 316"/>
        <s v="RUA MARIANO"/>
        <s v="PASSAGEM CRUZEIRO"/>
        <s v="RUA ONZE"/>
        <s v="AVENIDA SUL"/>
        <s v="RUA F"/>
        <s v="ALAMEDA AGUA CRISTAL"/>
        <s v="RUA ANCHIETA"/>
        <s v="PASSAGEM JARBAS PASSARINHO"/>
        <s v="PASSAGEM SANTA TERESINHA"/>
        <s v="AVENIDA CIPRIANO SANTOS"/>
        <s v="PASSAGEM ALLAN KARDEC"/>
        <s v="AVENIDA ALCINDO CACELA"/>
        <s v="QUADRA F"/>
        <s v="RUA DOS MUNDURUCUS"/>
        <s v="PASSAGEM SAO SILVESTRE"/>
        <s v="TRAVESSA VINTE E CINCO DE JUNHO"/>
        <s v="PASSAGEM SAO CRISTOVAO"/>
        <s v="PASSAGEM GUERRA PASSOS"/>
        <s v="PASSAGEM SANTA ROSA"/>
        <s v="TRAVESSA TEOFILO CONDURU"/>
        <s v="RUA BARAO DE IGARAPE MIRI"/>
        <s v="AVENIDA JOSE BONIFACIO"/>
        <s v="ALAMEDA INTENDENTE DOUTOR DIONISIO AUZIER BENTES"/>
        <s v="RUA DOS TAMOIOS"/>
        <s v="TRAVESSA DE BREVES"/>
        <s v="TRAVESSA MONTE ALEGRE"/>
        <s v="RUA SAO SILVESTRE"/>
        <s v="RUA LAURO MALCHER"/>
        <s v="AVENIDA PADRE EUTIQUIO"/>
        <s v="PASSAGEM JABATITEUA"/>
        <s v="AVENIDA GENTIL BITTENCOURT"/>
        <s v="RUA SILVA ROSADO"/>
        <s v="PASSAGEM DOM MANOEL"/>
        <s v="PASSAGEM NOSSA SENHORA DAS GRACAS"/>
        <s v="PASSAGEM VITORIA"/>
        <s v="AVENIDA CELSO MALCHER"/>
        <s v="RUA SAO DOMINGOS"/>
        <s v="PASSAGEM UNIVERSAL"/>
        <s v="AVENIDA HELIO AMANAJAS"/>
        <s v="TRAVESSA DOS ANDRADAS"/>
        <s v="PASSAGEM SAO JOSE DE RIBAMAR"/>
        <s v="TRAVESSA SOUZA FRANCO"/>
        <s v="TRAVESSA L 3"/>
        <s v="PASSAGEM FREDERICO HOSANA"/>
        <s v="ALAMEDA JOSE DE MIRANDA CASTELO BRANCO"/>
        <s v="TRAVESSA L 5"/>
        <s v="AVENIDA PRINCIPAL"/>
        <s v="RUA MANOEL BARATA"/>
        <s v="RUA DOIS DE DEZEMBRO"/>
        <s v="TRAVESSA SAO ROQUE"/>
        <s v="RUA PADRE JULIO MARIA"/>
        <s v="ESTRADA DA MARACACUERA"/>
        <s v="PASSAGEM TANCREDO NEVES"/>
        <s v="ALAMEDA A"/>
        <s v="RUA MARIO ANDREAZZA"/>
        <s v="PASSAGEM LIBERAL"/>
        <s v="RUA CARLOS GOMES"/>
        <s v="RUA PAULO FREIRE"/>
        <s v="TRAVESSA DA SOLEDADE"/>
        <s v="PASSAGEM QUINTA LINHA"/>
        <s v="RODOVIA AUGUSTO MONTENEGRO"/>
        <s v="PASSAGEM ALACID NUNES"/>
        <s v="PASSAGEM SEXTA LINHA"/>
        <s v="PASSAGEM SAO JOAO"/>
        <s v="COMUNIDADE DO CARUARU"/>
        <s v="LOTEAMENTO JARDIM DO PARAISO"/>
        <s v="RUA DOUTOR JOSE MARIANO CAVALEIRO DE MACEDO"/>
        <s v="AVENIDA BEIRA MAR"/>
        <s v="RUA SANTO ANTONIO"/>
        <s v="RUA LALOR MOTA"/>
        <s v="ESTRADA DO DNER"/>
        <s v="RODOVIA ENGENHEIRO AUGUSTO MEIRA FILHO"/>
        <s v="PASSAGEM ROMAO"/>
        <s v="AVENIDA DEZESSEIS DE NOVEMBRO"/>
        <s v="RUA FRANCELINO SANTOS"/>
        <s v="TRAVESSA DO MARACAJA"/>
        <s v="ESTRADA SAO FRANCISCO"/>
        <s v="RUA SAO FRANCISCO"/>
        <s v="LOTEAMENTO OLINDA I"/>
        <s v="TRAVESSA SIQUEIRA MENDES"/>
        <s v="TRAVESSA DOUTOR EVANDRO BONA"/>
        <s v="RUA DO ESTACIONAMENTO"/>
        <s v="ILHA DE PAQUETA OU URUBUOCA"/>
        <s v="ILHA JUTUBA"/>
        <s v="IGARAPE DO AURA COMUNIDADE NSRA DOS NAVEGANTES"/>
        <s v="IGARAPE PIRIQUITARA ILHA DO COMBU"/>
        <s v="FURO SAO BENEDITO COSTA DA ILHA DO COMBU"/>
        <s v="RIO BIJOGO"/>
        <s v="ILHA DO COMBU"/>
        <s v="AVENIDA BL 10"/>
        <s v="RUA DAS ORQUIDEAS"/>
        <s v="RUA PRAIA DA FLEXEIRA"/>
        <s v="ESTRADA DO POCAO"/>
        <s v="RUA MAGALHAES BARATA"/>
        <s v="RUA JARBAS PASSARINHO"/>
        <s v="ESTRADA ITAITEUA"/>
        <s v="ALAMEDA RUFINO"/>
        <s v="TRAVESSA SAO JORGE"/>
        <s v="AVENIDA NOSSA SENHORA DA CONCEICAO"/>
        <s v="PASSAGEM NOSSA SENHORA DA GUIA"/>
        <s v="PASSAGEM UMARIZAL"/>
        <s v="QUADRA QUARENTA E NOVE"/>
        <s v="QUADRA SETE"/>
        <s v="TRAVESSA TIMBO"/>
        <s v="PASSAGEM DOUTOR FREITAS"/>
        <s v="TRAVESSA MAURITI"/>
        <s v="PASSAGEM COMENDADOR PINHO"/>
        <s v="PASSAGEM SANTA MARIA"/>
        <s v="RUA OSVALDO CHAVES"/>
        <s v="PASSAGEM SAO BENEDITO"/>
        <s v="AVENIDA SENADOR LEMOS"/>
        <s v="TRAVESSA ANGUSTURA"/>
        <s v="PASSAGEM SANTA RITA"/>
        <s v="RUA DO ACAMPAMENTO"/>
        <s v="PASSAGEM DAS FLORES"/>
        <s v="PASSAGEM BROTINHO"/>
      </sharedItems>
    </cacheField>
    <cacheField name="Número" numFmtId="0">
      <sharedItems containsBlank="1">
        <s v="557"/>
        <s v="2321"/>
        <s v="825"/>
        <s v="1725"/>
        <s v="115"/>
        <s v="1995"/>
        <s v="8"/>
        <s v="1538"/>
        <s v="2892"/>
        <s v="2871"/>
        <s v="793"/>
        <s v="854"/>
        <s v="923"/>
        <s v="805"/>
        <s v="286"/>
        <s v="1824"/>
        <s v="217"/>
        <s v="74"/>
        <s v="SN"/>
        <s v="70"/>
        <s v="S/N"/>
        <s v="25294"/>
        <s v="30"/>
        <s v="6"/>
        <s v="20"/>
        <s v="4"/>
        <s v="108"/>
        <m/>
        <s v="61"/>
        <s v="32"/>
        <s v="1157"/>
        <s v="9"/>
        <s v="216"/>
        <s v="199"/>
        <s v="576"/>
        <s v="102"/>
        <s v="23"/>
        <s v="17"/>
        <s v="2084"/>
        <s v="152"/>
        <s v="1"/>
        <s v="250"/>
        <s v="14"/>
        <s v="100"/>
        <s v="1306"/>
        <s v="65"/>
        <s v="41 B"/>
        <s v="83"/>
        <s v="45"/>
        <s v="7"/>
        <s v="143"/>
        <s v="3262"/>
        <s v="28"/>
        <s v="2212"/>
        <s v="79"/>
        <s v="359"/>
        <s v="11"/>
        <s v="583/587"/>
        <s v="1894"/>
        <s v="3743"/>
        <s v="4146"/>
        <s v="3476"/>
        <s v="2005"/>
        <s v="3015"/>
        <s v="329"/>
        <s v="69"/>
        <s v="442"/>
        <s v="900"/>
        <s v="1415"/>
        <s v="142"/>
        <s v="619"/>
        <s v="2981"/>
        <s v="73"/>
        <s v="52"/>
        <s v="4975"/>
        <s v="373"/>
        <s v="1014"/>
        <s v="715"/>
        <s v="561"/>
        <s v="279"/>
        <s v="3186"/>
        <s v="163"/>
        <s v="2822"/>
        <s v="344"/>
        <s v="22"/>
        <s v="423"/>
        <s v="445"/>
        <s v="521"/>
        <s v="127"/>
        <s v="688"/>
        <s v="294"/>
        <s v="1110"/>
        <s v="62"/>
        <s v="64"/>
        <s v="60"/>
        <s v="728"/>
        <s v="95"/>
        <s v="178"/>
        <s v="25"/>
        <s v="138"/>
        <s v="2"/>
        <s v="500"/>
        <s v="16"/>
        <s v="72"/>
        <s v="297"/>
        <s v="53"/>
        <s v="120"/>
        <s v="551"/>
        <s v="834"/>
        <s v="1330"/>
        <s v="2236"/>
        <s v="12"/>
        <s v="18"/>
        <s v="212"/>
        <s v="298"/>
        <s v="1031"/>
        <s v="1605"/>
        <s v="35"/>
        <s v="295"/>
        <s v="171"/>
        <s v="3335"/>
        <s v="44"/>
        <s v="3"/>
        <s v="639"/>
        <s v="681"/>
        <s v="21"/>
        <s v="2136"/>
        <s v="165"/>
        <s v="153"/>
        <s v="414"/>
        <s v="610"/>
        <s v="2995"/>
        <s v="200"/>
        <s v="276"/>
        <s v="434"/>
      </sharedItems>
    </cacheField>
    <cacheField name="Complemento" numFmtId="0">
      <sharedItems containsBlank="1">
        <s v="ENTRE TUPINAMBS E APINAGS ENTRE TUPINAMBAS E APINAGES"/>
        <s v="CASA"/>
        <s v="RUA NOVA E PSG SANTA TEREZA"/>
        <s v="CASA ENTRE TV. LOMAS VALENTINAS E TV. ENEAS PINHEIRO"/>
        <m/>
        <s v="ENTRE AV. DUQUE DE CAXIAS E VISC. DE INHAUMA"/>
        <s v="ENTRE LOMAS E ANGUSTURA"/>
        <s v="ENTRE JOAO PAULO E PASSAGEM PIO X"/>
        <s v="ENTRE PERIMETRAL E JOAO PAULO II"/>
        <s v="ENTRE TV VISCONDE DE SOUZA FRANCO E TV QUINTINO BO"/>
        <s v="PROX AO MUSEU EMILIO GOELD ENTRE MAGALHAES BARATA E GOV. JOSE MALCHER"/>
        <s v="SAO BRAZ PARIQUIS E CARIPUNAS"/>
        <s v="CONJ RESIDENCIAL RORAIMA"/>
        <s v="RUA SAO PEDRO E RUA BETANIA"/>
        <s v="PROXIMO A AJAX DE OLIVEIRA"/>
        <s v="PROX. MERCADO NOVO ENTRE MAJ MIGUEL E SANTA MARIA"/>
        <s v="PASSAGEM PRATINHA"/>
        <s v="ENTRE AV INDEPENDENCIA E RUA BELEM"/>
        <s v="CONJ ARIRI BOLONHA QUADRA 26 RL 09 L 22"/>
        <s v="AO LADO DA UNIDADE DE SAUDE"/>
        <s v="ESQ ESPERANTISTA"/>
        <s v="CONJUNTO PEDRO TEIXEIRA EM FRENTE A ESCOLA 7 ANOS"/>
        <s v="ESQ PASSAGEM COIMBRA"/>
        <s v="CONJ. CATALINA"/>
        <s v="AVENIDA CENTENARIO COM SG FAVARO CJ CATALINA"/>
        <s v="TV. 15 CEL. AVIADOR BRITO TRAVESSA 15"/>
        <s v="CJ CATALINA TENENTE AVIADOR BRITO"/>
        <s v="RUA YAMADA"/>
        <s v="ENTRE ROD. ARTUR BERNARDES E RUA LIBERAL"/>
        <s v="ENTRE PASS. SAMAUMA E TRAV 11 DE FEV"/>
        <s v="AO LADO DA CAIXA D AGUA RUA EM FRENTE AO CIABA"/>
        <s v="EM FRENTE A FABRICA DA CERPA"/>
        <s v="EM FRENTE A CERPASA AP 101 102"/>
        <s v="PASS. ENGELHARD"/>
        <s v="ESQ C TV 4 RESIDENCIAL CAMPOS ELIZIOS"/>
        <s v="RESIDENCIAL PARQUE UNIAO ENTRE RUA QUINTINO E CARLOS MARIGUELA"/>
        <s v="PASSAGEM OSEIAS"/>
        <s v="ESQUINA COM A 5 RUA RODOVIA DO TAPANA"/>
        <s v="PARQUE UNIAO"/>
        <s v="3 RUA DO TAPANA ENTRE ROD. DO TAPANA E TRAV UBERABA"/>
        <s v="ROD TAPANA KM 02 ENTRE RUA SAO CLEMENTE E RUA SUCUPIRA"/>
        <s v="LOTEAMENTO ACAI PROX. A RUA DO RANARIO"/>
        <s v="CONJUNTO BOSQUE ARAGUAIA COMUNIDADE VITORIA"/>
        <s v="RESIDENCIAL JARDIM NOVA VIDA"/>
        <s v="CJ NOVA VIDA RUA WANDERLEI BELEM PROXIMO AO LINHO DO CONJUNTO JARDIM NOVA VIDAVID"/>
        <s v="LOTEAMENTO OLGA BENARIO RUA DOS CABANOS E CARLOS PRESTES"/>
        <s v="CONJUNTO VERDEJANTE 3 RUA DA MATA QUADRA XVI E XV"/>
        <s v="CONJUNTO VERDEJANTE QUADRA 2"/>
        <s v="CONJUNTO VERDEJANTE I RUA E JARDIM NOVA VIDA"/>
        <s v="LOTEAMENTO PARK AURA"/>
        <s v="RUA JOSE HASSEGAWA"/>
        <s v="BR 316"/>
        <s v="JOAO PAULO II E BR316"/>
        <s v="ESQUINA DA JOAO PAULO II"/>
        <s v="CONJUNTO PROVIDENCIA ENTRE AVENIDA NORTE E AVENIDA SUL"/>
        <s v="NA FEIRA CJ PROVIDENCIA"/>
        <s v="CJ EUCLIDES FIGUEIREDO QD 3"/>
        <s v="ENTRE RUA ANCHIETA E RUA ESPERANTO"/>
        <s v="ENTRE AVENIDA DALVA E CANAL AGUA CRISTAL"/>
        <s v="RUA DE MARINHA E RODOLFO CHERMONT"/>
        <s v="CJ IMPERIO AMAZONICO"/>
        <s v="AV ROBERTO CAMELIER"/>
        <s v="PASSAGEM VINTE E UM DE ABRIL PASS ORQUIDEA"/>
        <s v="CONJ RADIONAL II QUADRA F"/>
        <s v="ESQUINA COM TV. APINAGES ENTRE TV. APINAGES E PASSAGEM PARINTINS"/>
        <s v="ENT 9 DE JANEIRO E 3 DE MAIO"/>
        <s v="AO LADO DO POSTO POLICIAL FERNANDO GUILHOM E SAO MIGUEL"/>
        <s v="ENTRE PASS POPULAR E BERNARDO SAYAO ENTRE JOS BONIFCIO EBERNARDO SAYAO"/>
        <s v="AO LADO DO INSTITUTO MARIA E MARIAS ENTRE RUA DOS MUNDURUCUS E AV. CONSELHEIRO FURTADO"/>
        <s v="ENTRE AUGUSTO CORREA E RUA DA OLARIA UFPA"/>
        <s v="ENTRE EPITACIO PESSOA E POPULAR"/>
        <s v="TRAV EZERIEL MONICO E TRAV LIBERATO DE CASTRO"/>
        <s v="AO LADO DO MESTRE 70 PROX. A BERNARDO SAYAO"/>
        <s v="PS POPULAR E SANTA FE"/>
        <s v="ENTRE BERNARDO SAYAO E TRAVESSA DE BREVES"/>
        <s v="ENTRE FERNANDO GULHON E SO MIGUEL"/>
        <s v="RUA CEZARIO ALVIM E RUA OSVALDO DE CALDAS BRITO"/>
        <s v="ENTRE TRAVESSA DE BREVES E MONTE ALEGRE"/>
        <s v="FERNANDO GUILHON FERNANDO GUILHON E PR?A MONTE ALEGRE"/>
        <s v="AO LADO DA IGREJA QUADRANGULAR ENTRE TVHONORATO JOSE DOS SANTOS E TV BOM JARDIM"/>
        <s v="ENTRE TV APINAGES E TV TUPINAMBAS ENTRE APINAGES E TUPINAMBAS"/>
        <s v="ENTRE JOSE BONIFACIO E BARAO DE MAMORE TERMINAL RODOVIARIO"/>
        <s v="ENTRE NINA RIBEIRO E GUERRA PASSOS"/>
        <s v="ENTRE SEGUNDA DE QUELUZ E BOM JESUS"/>
        <s v="PROX A PASSAGEM SAO PEDRO"/>
        <s v="PREDIO ALUGADO"/>
        <s v="AO LADO DA E. E. BRIGADEIRO FONTENELLE"/>
        <s v="AVENIDA PERIMETRAL"/>
        <s v="AV PERIMETRAL E AV CELSO MALCHER"/>
        <s v="PARQUE SANTA PAULA RUA GOMES FARIAS E MARACUERA"/>
        <s v="0 RUA CORONEL JUVENCIO SARMENTO E RUA SANTA IZABEL"/>
        <s v="VIA PRINCIPAL TV. BERREDOS PARACURI"/>
        <s v="PASS DOUGLAS COEN ENTRE 2 DE DEZEMBRO E 8 DE MAIO"/>
        <s v="ENTRE TRAVESSA 7 E TRAVESSA 8 FUNDO DA ESCOLA PARACURI II"/>
        <s v="FINAL DA LINHA DO ICOARACI VER O PESO"/>
        <s v="CONJUNTO JARDIM MAGUARI ALAMEDA 30 AO LD DA IGREJA PRESBI"/>
        <s v="ESQUINA COM SA0 ROQUE"/>
        <s v="DEPOIS DO CEMITERIO PROX. CRISTOVAO COLOMBO"/>
        <s v="ENTRE SIQUEIRA MENDES E MANOEL BARATA"/>
        <s v="ENTRE TRAV. DO CRUZEIRO E TRAV. PIMENTA BUENO"/>
        <s v="RESIDENCIAL QUINTA DOS PARICAS RUA 10"/>
        <s v="RES. QUINTA DOS PARICAS 6 PROX. A UBS"/>
        <s v="RESIDENCIAL QUINTA DOS PARICAS"/>
        <s v="RESID QUINTA DOS PAR"/>
        <s v="RESIDENCIAL TOCANTINS"/>
        <s v="CJ EDUARDO ANGELIM"/>
        <s v="CONJUNTO EDUARDO ANGELIM"/>
        <s v="ESQUINA COM RUA DOIS DE DEZEMBRO"/>
        <s v="RESIDENCIAL CORDOLINA FONTELLES RUA PAULO FREIRE QUADRA 4 N16"/>
        <s v="LOTEAMENTO FE EM DEUS PASSAGEM TANCREDO NEVES"/>
        <s v="CJ BELA MANUELA II TV. 5"/>
        <s v="ENTRE WE 01 E WE 02"/>
        <s v="5 LINHA PROX PARQUE AMAZONIA"/>
        <s v="RAMAL DA FAZENDA BOA ESPERANCA"/>
        <s v="FINAL DA LINHA DA VAN PARAISO RUA SANTANA"/>
        <s v="FINAL DA VARIANTE ANTIGA VILA NOVA"/>
        <s v="RUA OSVALDO MEDRADA BL13"/>
        <s v="EM FRENTE A PRACA"/>
        <s v="ESQUINA COM RUA SANTA RITA"/>
        <s v="RUA CEMITERIO ENTRE BL 19E RUA LALOR MOTA"/>
        <s v="ALAMEDA TERESOPOLIS AO LADO DO HOTEL LICE"/>
        <s v="RUA DA BATERIA ENTRE 16 DE NOVEMBRO E BEIRA MAR"/>
        <s v="ESQUINA COM A TOCANTINS PENA"/>
        <s v="ENTRE EMBRATEL E PONTE DO CAJUEIRO"/>
        <s v="PROXIMO A ESCOLA MAROJA NETO URBANO"/>
        <s v="ESTRADA DO SAO FRANCISCO PROXIMO A EM MAROJA NETO"/>
        <s v="PRACA NOSSA SENHORA DA CONCEICAO ROD BL 13"/>
        <s v="EM FRENTE A HONORATO FILGUEIRAS"/>
        <s v="PROX. PSG N S DE FATIMA"/>
        <s v="ENTRE RUA IPANEMA E AVENIDA ATLANTICA ESTACIONAMENTO DA PRAIA DO AMOR"/>
        <s v="ENT ILHA DE COTIJUBA E ILHA DE OUTEIRO"/>
        <s v="IGARAPE AURA"/>
        <s v="COMUNIDADE DE SANTO ANTONIO"/>
        <s v="ILHAS SUL DE BELEM"/>
        <s v="IGARAPE DO COMBU"/>
        <s v="PROXIMO FINAL DA LINHA DO OUTEIRO"/>
        <s v="PRAIA FUNDA"/>
        <s v="PONTA DE BAIXO SERINGAL"/>
        <s v="ILHA DE COTIJUBA"/>
        <s v="RUA EVANDRO BONA"/>
        <s v="EM FRENTE A CAPELA CATOLICA NOSSA DE FATIMA"/>
        <s v="COMUNIDADE DO FIDELIS AO LADO DO POSTO DE SAUDE"/>
        <s v="PROXIMO A PRAIA DA BRASILIA"/>
        <s v="RUA STELIO MAROJA"/>
        <s v="ENTRE PASSAGEM VITORIA E PASSAGEM CAJU"/>
        <s v="ENTRADA PELA PASSAGEM CRUZEIRO SECUNDARIA ENTRE ANTONIO BARRETO E DOMINGOS MARREIROS"/>
        <s v="CONJUNTO PARAISO DOS PASSAROS RUA ARUA"/>
        <s v="CONJUNTO PARAISO DOS PASSAROS TRAVESSA MACARICO"/>
        <s v="PROXIMO A PEDRO MIRANDA"/>
        <s v="ENTRE RUA EVERDOSA E RUA NOVA"/>
        <s v="ENTRE AV SEN LEMOS E PAS QUARUBAS"/>
        <s v="TRAVESSA MAURITI ENTRE DUQUE E VISCONDE DE INHAUMA"/>
        <s v="EM FRENTE AO CANAL MALVINAS ENTRE JULIA RAMOS E ANA DANTAS"/>
        <s v="AVENIDA PEDRO ALVARES CABRAL PROX CONJUNTO CPD ESQUINA COM PASSAGEM GARRINCHA"/>
        <s v="PROX PRACA DO JAU PREDIO ALUGADO"/>
        <s v="PROXIMO A PRACA DO JAU SENADOR LEMOS E PEDRO ALVARES CABARLA"/>
        <s v="PASSAGEM MUCAJA PROXIMO A AVENIDA DR FREITAS"/>
        <s v="ENTRE RUA NOVA E PASSAGEM SALDANHA MARINHO"/>
        <s v="PROX. IGREJA PERPETUO SOCORRO RODOVIA ARTHUR BERNARDES"/>
      </sharedItems>
    </cacheField>
    <cacheField name="CEP" numFmtId="49">
      <sharedItems>
        <s v="66033112"/>
        <s v="66063485"/>
        <s v="66025455"/>
        <s v="66095495"/>
        <s v="66095310"/>
        <s v="66095661"/>
        <s v="66095570"/>
        <s v="66095494"/>
        <s v="66093677"/>
        <s v="66095015"/>
        <s v="66055260"/>
        <s v="66055490"/>
        <s v="66063000"/>
        <s v="66090290"/>
        <s v="66040520"/>
        <s v="66063223"/>
        <s v="66070240"/>
        <s v="66630315"/>
        <s v="66630010"/>
        <s v="66630390"/>
        <s v="66630030"/>
        <s v="66630080"/>
        <s v="66630215"/>
        <s v="66625490"/>
        <s v="66625140"/>
        <s v="66625630"/>
        <s v="66650507"/>
        <s v="66650600"/>
        <s v="66650550"/>
        <s v="66670220"/>
        <s v="66650185"/>
        <s v="66670070"/>
        <s v="66670000"/>
        <s v="66640480"/>
        <s v="66640290"/>
        <s v="66640642"/>
        <s v="66640200"/>
        <s v="66640220"/>
        <s v="66640445"/>
        <s v="66635815"/>
        <s v="66816010"/>
        <s v="66816193"/>
        <s v="66816250"/>
        <s v="66816000"/>
        <s v="66643610"/>
        <s v="66833605"/>
        <s v="66825227"/>
        <s v="66825260"/>
        <s v="66825050"/>
        <s v="66830120"/>
        <s v="66825620"/>
        <s v="66825010"/>
        <s v="66830335"/>
        <s v="66825070"/>
        <s v="66830680"/>
        <s v="66825285"/>
        <s v="66825539"/>
        <s v="66652300"/>
        <s v="66690200"/>
        <s v="66690796"/>
        <s v="66690190"/>
        <s v="66690395"/>
        <s v="66690450"/>
        <s v="66691010"/>
        <s v="66645070"/>
        <s v="66645000"/>
        <s v="66645415"/>
        <s v="66610770"/>
        <s v="66610330"/>
        <s v="66610755"/>
        <s v="66110410"/>
        <s v="66110071"/>
        <s v="66620770"/>
        <s v="66615032"/>
        <s v="66615030"/>
        <s v="66620490"/>
        <s v="66613760"/>
        <s v="66070605"/>
        <s v="66033130"/>
        <s v="66065213"/>
        <s v="66033085"/>
        <s v="66065219"/>
        <s v="66040036"/>
        <s v="66065710"/>
        <s v="66065205"/>
        <s v="66075513"/>
        <s v="66065670"/>
        <s v="66073240"/>
        <s v="66075530"/>
        <s v="66073570"/>
        <s v="66075048"/>
        <s v="66065112"/>
        <s v="66073270"/>
        <s v="66063495"/>
        <s v="66025540"/>
        <s v="66025450"/>
        <s v="66025220"/>
        <s v="66025125"/>
        <s v="66030370"/>
        <s v="66030575"/>
        <s v="66033410"/>
        <s v="66025011"/>
        <s v="66070250"/>
        <s v="66073220"/>
        <s v="66070510"/>
        <s v="66077200"/>
        <s v="66077420"/>
        <s v="66077160"/>
        <s v="66077000"/>
        <s v="66077650"/>
        <s v="66079510"/>
        <s v="66070740"/>
        <s v="66822460"/>
        <s v="66811010"/>
        <s v="66811510"/>
        <s v="66811880"/>
        <s v="66811775"/>
        <s v="66811210"/>
        <s v="66813370"/>
        <s v="66813690"/>
        <s v="66823095"/>
        <s v="66810100"/>
        <s v="66810040"/>
        <s v="66810020"/>
        <s v="66810060"/>
        <s v="66815140"/>
        <s v="66815150"/>
        <s v="66815776"/>
        <s v="66821030"/>
        <s v="66821110"/>
        <s v="66821295"/>
        <s v="66821590"/>
        <s v="66812030"/>
        <s v="66820160"/>
        <s v="66820000"/>
        <s v="66820020"/>
        <s v="66820170"/>
        <s v="66820175"/>
        <s v="66999899"/>
        <s v="66919140"/>
        <s v="66921135"/>
        <s v="66923100"/>
        <s v="66923060"/>
        <s v="66923050"/>
        <s v="66923120"/>
        <s v="66913500"/>
        <s v="66913430"/>
        <s v="66916040"/>
        <s v="66911010"/>
        <s v="66920790"/>
        <s v="66920380"/>
        <s v="66933030"/>
        <s v="66910110"/>
        <s v="66843470"/>
        <s v="66843730"/>
        <s v="66845840"/>
        <s v="66845410"/>
        <s v="66846540"/>
        <s v="66846350"/>
        <s v="66846001"/>
        <s v="66846010"/>
        <s v="66842090"/>
        <s v="66842030"/>
        <s v="66842250"/>
        <s v="66840215"/>
        <s v="66840450"/>
        <s v="66117210"/>
        <s v="66117070"/>
        <s v="66060110"/>
        <s v="66060220"/>
        <s v="66110153"/>
        <s v="66110096"/>
        <s v="66080322"/>
        <s v="66083047"/>
        <s v="66080630"/>
        <s v="66087680"/>
        <s v="66120270"/>
        <s v="66083200"/>
        <s v="66120300"/>
        <s v="66123140"/>
        <s v="66120260"/>
        <s v="66120000"/>
        <s v="66120230"/>
        <s v="66115200"/>
        <s v="66083030"/>
        <s v="66113420"/>
        <s v="66115130"/>
      </sharedItems>
    </cacheField>
    <cacheField name="Telefone" numFmtId="0">
      <sharedItems containsBlank="1">
        <m/>
        <s v="32229630"/>
        <s v="32497376"/>
        <s v="32851977"/>
        <s v="32237547"/>
        <s v="83354855"/>
        <s v="87291508"/>
        <s v="82764412"/>
        <s v="86018168"/>
        <s v="32786950"/>
        <s v="32296480"/>
        <s v="32696532"/>
        <s v="32530133"/>
        <s v="32267773"/>
        <s v="32748864"/>
        <s v="32979632"/>
        <s v="89174581"/>
        <s v="32797921"/>
        <s v="32279735"/>
        <s v="37721410"/>
        <s v="88379551"/>
        <s v="32334067"/>
      </sharedItems>
    </cacheField>
    <cacheField name="E-mail" numFmtId="0">
      <sharedItems containsBlank="1">
        <s v="iris.santana@semec.belem.pa.gov.br"/>
        <s v="upbaraodemamore@semec.belem.pa.gov.br"/>
        <s v="emeif.mpfilho@semec.pmb.pa.gov.br"/>
        <s v="casadacriancastaines@semec.belem.pa.gov.br"/>
        <m/>
        <s v="cclionsclubedebelem@semec.belem.pa.gov.br"/>
        <s v="emeiluciacastro@gmail.com"/>
        <s v="profraimundaluciaguerreiro@semec.belem.pa.gov.br"/>
        <s v="ruydasilveirabrito@semec.belem.pa.gov.br"/>
        <s v="crei.orlandobitar@semec.belem.pa.gov.br"/>
        <s v="benvindadefrancamessias@semec.belem.pa.gov.br"/>
        <s v="ernestinarodrigues@semec.belem.pa.gov.br"/>
        <s v="franciscodasilvanunes@semec.belem.pa.gov.br"/>
        <s v="augusto-meiraf@semec.belem.pa.gov.br"/>
        <s v="mariaamorasdeoliveira@semec.belem.pa.gov.br"/>
        <s v="profangelicadocarmosantospaiva@semec.belem.pa.gov"/>
        <s v="gilvaniamarciabarrosdasilva@semec.belem.pa.gov.br"/>
        <s v="deputadojoaocarlosbatista@semec.belem.pa.gov.br"/>
        <s v="alanadesouzabarboza1@semec.belem.pa.gov.br"/>
        <s v="escolaanexa2alana@gmail.com"/>
        <s v="cristoredentor@semec.belem.pa.gov.br"/>
        <s v="pebrunosechi@semec.belem.pa.gov.br"/>
        <s v="alanasouzabarboza@semec.belem.pa.gov.br"/>
        <s v="saogaspar@semec.belem.pa.gov.br"/>
        <s v="silvioleandro@semec.belem.pa.gov.br"/>
        <s v="catalina1@semec.belem.pa.gov.br"/>
        <s v="catalina2@semec.belem.pa.gov.br"/>
        <s v="catalina3@semec.belem.pa.gov.br"/>
        <s v="emef.walterleite@semec.belem.pa.gov.br"/>
        <s v="emeif.cordolinaflima@semec.pmb.pa.gov.br"/>
        <s v="duasirmasbiancaeadriely@semec.belem.pa.gov.br"/>
        <s v="novaalianca@semec.belem.pa.gov.br"/>
        <s v="emei.pratinha@semec.belem.pa.gov.br"/>
        <s v="uei.pratinha@semec.belem.pa.gov.br"/>
        <s v="ueisaojose@gmail.com"/>
        <s v="profcleoniceoliveiraconceicao@semec.belem.pa.gov.b"/>
        <s v="gabriellagedasilva@semec.belem.pa.gov.br"/>
        <s v="josealvescunha@semec.belem.pa.gov.br"/>
        <s v="mariaheloisadecastro@semec.belem.pa.gov.br"/>
        <s v="upnossasenhoraaparecida@gmail.com"/>
        <s v="nossolar@semec.belem.pa.gov.br"/>
        <s v="aldaeutropiodesouza@semec.belem.pa.gov.br"/>
        <s v="profaldairnerilopes@semec.belem.pa.gov.br"/>
        <s v="elvirasacramentodequadros@semec.belem.pa.gov.br"/>
        <s v="escola.perpetuo.socorro@semec.belem.pa.gov.br"/>
        <s v="anexonovaesperanca@gmail.com"/>
        <s v="mariaconceicaodesouza@semec.belem.pa.gov.br"/>
        <s v="olgabenario@semec.belem.pa.gov.br"/>
        <s v="parquebolonha@semec.belem.pa.gov.br"/>
        <s v="luciana.sousa@hotmail.com.br"/>
        <s v="escolaverdejante1@semec.pmb.pa.gov.br"/>
        <s v="santanadoaura@semec.belem.pa.gov.br"/>
        <s v="profterezinhasouza@semec.belem.pa.gov.br"/>
        <s v="uei.rosemaryjorge@semec.pa.gov.br"/>
        <s v="jesusmariaejose@semec.belem.pa.gov.br"/>
        <s v="wilsonbahidadesouza@semec.belem.pa.gov.br"/>
        <s v="profidadeoliveira@semec.belem.pa.gov.br"/>
        <s v="uei.providencia@semec.belem.pa.gov.br"/>
        <s v="palmiralinsdecarvalho@semec.belem.pa.gov.br"/>
        <s v="profaauroraguimaraesvieira@semec.belem.pa.gov.br"/>
        <s v="republicadeportugal@semec.belem.pa.gov.br"/>
        <s v="anexo.santaritadecassia@semec.belem.pa.gov.br"/>
        <s v="emeif.palmeidabrasil@semec.pmb.pa.gov.br"/>
        <s v="santoagostinho@semec.belem.pa.gov.br"/>
        <s v="uei.allankardec@semec.belem.pa.gov.br"/>
        <s v="antoniocarvalhobrasil@semec.belem.pa.gov.br"/>
        <s v="nestornonatodelima@semec.belem.pa.gov.br"/>
        <s v="silvionascimento@semec.belem.pa.gov.br"/>
        <s v="uei.encantodosaber@semec.belem.pa.gov.br"/>
        <s v="franciscodeassis@semec.belem.gov.br"/>
        <s v="profvenuzinamarinhodesouza@semec.belem.pa.gov.br"/>
        <s v="amaliapaungartten@semec.belem.pa.gov.br"/>
        <s v="direitodesercrianca@semec.belem.pa.gov.br"/>
        <s v="edsonluis@semec.belem.pa.gov.br"/>
        <s v="uei.guama@semec.pmb.pa.gov.br"/>
        <s v="padreleandropinheiro@semec.belem.pa.gov.br"/>
        <s v="profluizcarlosacaciobarbosa@semec.belem.pa.gov.br"/>
        <s v="anexo.santaisabel@semec.belem.pa.gov.br"/>
        <s v="maia.helem@yahoo.com"/>
        <s v="osvaldodecaldas@semec.belem.pa.gov"/>
        <s v="nestornonato@yahoo.com.br"/>
        <s v="honoratofilgueiras@semec.belem.pa.gov.br"/>
        <s v="fund.honoratofilgueiras@semec.belem.pa.gov.br"/>
        <s v="uei.montealegre@semec.belem.pa.gov.br"/>
        <s v="profrosenilcordeirosilva@semec.belem.pa.gov.br"/>
        <s v="rotary@semec.belem.pa.gov.br"/>
        <s v="manuelafreitas@semec.belem.pa.gov.br"/>
        <s v="uei.santoagostinho@semec.belem.pa.gov.br"/>
        <s v="escolaanexobetinho@gmail.com"/>
        <s v="mariastellinavalmont@semec.belem.pa.gov.br"/>
        <s v="parqueamazonia@semec.belem.pa.gov.br"/>
        <s v="emsaofranciscodeassis_belem@gmail.com"/>
        <s v="emefsolernomoreira@semec.belem.pa.gov.br"/>
        <s v="uei.terrafirme@semec.belem.pa.gov.br"/>
        <s v="sabinobarreto@semec.belem.pa.gov.br"/>
        <s v="liceumestreraimundocardoso@semec.belem.pa.gov.br"/>
        <s v="mariamadalenacorrearad@semec.belem.pa.gov.br"/>
        <s v="profogilvanisemoreirademoura@semec.belem.pa.gov.br"/>
        <s v="laisadernefontoura@semec.belem.pa.gov.br"/>
        <s v="cohab3@semec.belem.gov.br"/>
        <s v="maria.farias@semec.belem.pa.gov.br"/>
        <s v="profalfredochaves@semec.belem.pa.gov.br"/>
        <s v="avertanorocha@semec.belem.pa.gov.br"/>
        <s v="ueicasaamizade@gmail.com"/>
        <s v="vandaceliafdesouza@semec.belem.pa.gov.br"/>
        <s v="profcirianazaretulosadossantos@semec.belem.pa.gov"/>
        <s v="profluzmarinademelo@semec.belem.pa.gov.br"/>
        <s v="mariadebelem@semec.belem.pa.gov.br"/>
        <s v="ayrtonsenna@semec.belem.pa.gov.br"/>
        <s v="cirodaschagaspimenta@semec.pa.gov.br"/>
        <s v="renatasalespena@semec.belem.pa.gov.br"/>
        <s v="castanheiras@semec.belem.pa.gov.br"/>
        <s v="marialuciaoliveiramonteiro@semec.belem.pa.gov.br"/>
        <s v="profjaimedacostateixeira@semec.belem.pa.gov.br"/>
        <s v="paulofreire@semec.belem.pa.gov.br"/>
        <s v="ritanery@semec.belem.pa.gov.br"/>
        <s v="theodorbadotti@semec.belem.pa.gov.br"/>
        <s v="mariaclemildes@semec.belem.pa.gov.br"/>
        <s v="mariamadalenatravassos@semec.belem.pa.gov.br"/>
        <s v="annabarreauminineia@semec.belem.pa.gov.br"/>
        <s v="ueibacuri@semec.belem.pa.gov.br"/>
        <s v="laurochaves@semec.belem.pa.gov.br"/>
        <s v="abelmartins@semec.belem.pa.gov.br"/>
        <s v="uei.rotary@semec.belem.pa.gov.br"/>
        <s v="uei.panapana@semec.pmb.pa.gov.br"/>
        <s v="emef.donatilaslopes@semec.pmb.pa.gov.br"/>
        <s v="escolaremigiofernandez@semec.belem.pa.gov.br"/>
        <s v="marojaneto@semec.belem.pa.gov.br"/>
        <s v="emeimosqueiro@gmail.com"/>
        <s v="saofrancisco@semec.belem.pa.gov.br"/>
        <s v="campoangelusnascimento@semec.belem.pa.gov.br"/>
        <s v="uei.maracaja@semec.belem.pa.gov.br"/>
        <s v="itaiteua@semec.belem.pa.gov.br"/>
        <s v="profpedrodemo@semec.belem.pa.gov.br"/>
        <s v="em.faveira@semec.pmb.pa.gov.br"/>
        <s v="miltonmonte@semec.belem.pa.gov.br"/>
        <s v="emec.saojose@semec.pmb.pa.gov.br"/>
        <s v="sebastiaquaresma@semec.belem.pa.gov.br"/>
        <s v="profhelderfialho@semec.belem.pa.gov.br"/>
        <s v="cotijuba@semec.belem.pa.gov.br"/>
        <s v="em.cp@semec.pmb.pa.gov.br"/>
        <s v="monsenhorjosemaria@semec.belem.pa.gov.br"/>
        <s v="profrenildesnunes@semec.belem.pa.gov.br"/>
        <s v="coordenacaopedagigicadunbosque@yahoo.com.br"/>
        <s v="ere@semec.belem.pa.gov.br"/>
        <s v="izacunha@semec.belem.pa.gov.br"/>
        <s v="amanciapantoja@semec.belem.pa.gov.br"/>
        <s v="cantodouirapuru@semec.belem.pa.gov.br"/>
        <s v="revoardasandorinhas@semec.belem.pa.gov.br"/>
        <s v="palmiragabriel@semec.belem.pa.gov.br"/>
        <s v="uei.sacramenta@semec.pmb.pa.gov.br"/>
        <s v="ccbaseviscondedeinhauma.semec@gov.com.br"/>
        <s v="suzeteperesmaxwell@semec.belem.pa.gov.br"/>
        <s v="em.anetemrodrigues@semec.pmb.pa.gov.br"/>
        <s v="comandanteklautau@semec.belem.pa.gov.br"/>
        <s v="inesmaroja@semec.belem.pa.gov.br"/>
        <s v="upnelsinho30@uotlook.com"/>
        <s v="marialuizapintoamaral@semec.belem.pa.gov.br"/>
        <s v="almerindotrinidade@semec.belem.pa.gov.br"/>
        <s v="emef.joaonribeiro@semec.pmb.pa.gov.br"/>
        <s v="perpetuosocorro@semec.belem.pa.gov.br"/>
      </sharedItems>
    </cacheField>
    <cacheField name="Ato de criação" numFmtId="0">
      <sharedItems containsBlank="1">
        <s v="DECRETO Nº 96.781/2020 - PMB, DE 21 DE JULHO DE 2020"/>
        <m/>
        <s v="OSC - NÃO NECESSITA ATO DE CRIAÇÃO"/>
        <s v="DECRETO Nº 113.717/2025 - PMB, DE 23 DE JUNHO DE 2025"/>
        <s v="DECRETO Nº 96.504/2020 - PMB, DE 16 DE JUNHO DE 2020."/>
        <s v="DECRETO Nº 96.325/2020 - PMB, DE 19 DE MAIO DE 2020, RETIFICADO PELO DECRETO Nº 96.503/2020 - PMB, DE 16/06/2020"/>
        <s v="LEI Nº 7.183/1981 - PMB, DE 11/11/1981"/>
        <s v="DECRETO Nº 95.488/2020 - PMB, DE 03 DE FEVEREIRO DE 2020"/>
        <s v="DECRETO Nº 89.868/2017 - PMB, DE 2 DE OUTUBRO DE 2017"/>
        <s v="DECRETO N.º 113.730/2025 – PMB, DE 23 DE JUNHO DE 2025"/>
        <s v="DECRETO N.º 113.731/2025 – PMB, DE 23 DE JUNHO DE 2025"/>
        <s v="DECRETO N.º 113.720/2025 – PMB, DE 23 DE JUNHO DE 2025"/>
        <s v="DECRETO Nº 113.110/2024 - PMB, DE 23 DE DEZEMBRO DE 2024"/>
        <s v="PORTARIA Nº. 1.313/2008 - GABS, DE 08 DE OUUBRO DE 2008"/>
        <s v="PORTARIA Nº. 1.030/2014 - GABS, DE 23 DE ABRIL DE 2014"/>
        <s v="PORTARIA Nº 547 / 2007 – PMB, DE 28 DE MAIO DE 2007"/>
        <s v="PORTARIA Nº 548 / 2007 – PMB, DE 28 DE MAIO DE 2007"/>
        <s v="PORTARIA Nº 549 / 2007 – PMB, DE 28 DE MAIO DE 2007"/>
        <s v="DECRETO Nº. 73.552/2013 – PMB, 15 DE JANEIRO DE 2013, RETIFICADO PELO DECRETO Nº. 81.011/2014 – PMB, 15 DE OUTUBRO DE 2014"/>
        <s v="DECRETO Nº 80.450/2014-PMB, DE 11 DE AGOSTO DE 2014"/>
        <s v="DECRETO Nº 91.275/2018 - PMB, DE 21 DE MAIO DE 2018"/>
        <s v="DECRETO N.º 113.734/2025 – PMB, DE 23 DE JUNHO DE 2025"/>
        <s v="DECRETO Nº 111.991/2024 - PMB, DE 13 DE AGOSTO DE 2024"/>
        <s v="DECRETO Nº 89.867/2017 - PMB, DE 2 DE OUTUBRO DE 2017"/>
        <s v="DECRETO Nº 113.729/2025 - PMB, DE 23 DE JUNHO DE 2020"/>
        <s v="DECRETO Nº. 81.565/2014 – PMB, 16 DE DEZEMBRO DE 2014"/>
        <s v="DECRETO Nº 95.487/2020 - PMB, DE 03 DE FEVEREIRO DE 2020"/>
        <s v="DECRETO Nº 87.368/2017 - PMB, DE 06 DE FEVEREIRO DE 2017"/>
        <s v="DECRETO Nº 97.641/2020 - PMB, DE 26 DE OUTUBRO DE 2020"/>
        <s v="DECRETO Nº 113.725/2025 - PMB, DE 23 DE JUNHO DE 2020"/>
        <s v="DECRETO Nº 85.697/2016 - PMB, DE 9 DE MAIO DE 2016"/>
        <s v="DECRETO Nº 111.987/2024 - PMB, DE 13 DE AGOSTO DE 2024"/>
        <s v="DECRETO Nº 72.135/2012-PMB, DE 08 DE NOVEMBRO DE 2012"/>
        <s v="PORTARIA Nº. 0157/2015 - GABS, DE 23 DE FEVEREIRO DE 2015"/>
        <s v="DECRETO N.º 113.727/2025 – PMB, DE 23 DE JUNHO DE 2025"/>
        <s v="DECRETO Nº 82.593/2015 - PMB, DE 20 DE ABRIL DE 2015"/>
        <s v="DECRETO Nº 111.990/2024 - PMB, DE 13 DE AGOSTO DE 2024"/>
        <s v="PORTARIA Nº 555 / 2007 – PMB, DE 28 DE MAIO DE 2007"/>
        <s v="PORTARIA Nº 557 / 2007 – PMB, DE 28 DE MAIO DE 2007"/>
        <s v="PORTARIA Nº 558 / 2007 – PMB, DE 28 DE MAIO DE 2007"/>
        <s v="PORTARIA Nº 559 / 2007 – PMB, DE 28 DE MAIO DE 2007"/>
        <s v="DECRETO Nº 96.723/2020 - PMB, DE 20 DE JULHO DE 2020"/>
        <s v="DECRETO N.º 113.724/2025 – PMB, DE 23 DE JUNHO DE 2025"/>
        <s v="DECRETO Nº 86.315/2016 – PMB, DE 5 DE AGOSTO DE 2016"/>
        <s v="DECRETO N.º 113.726/2025 – PMB, DE 23 DE JUNHO DE 2025"/>
        <s v="PORTARIA Nº 540 / 2007 – PMB, DE 28 DE MAIO DE 2007"/>
        <s v="PORTARIA Nº. 2.064/2015 - GABS, DE 21/ DE JULHO DE 2015"/>
        <s v="DECRETO N.º 113.723/2025 – PMB, DE 23 DE JUNHO DE 2025"/>
        <s v="DECRETO Nº 95.218/2019 - PMB, DE 27 DE DEZEMBRO DE 2019"/>
        <s v="DECRETO Nº 85.304/2016 - PMB, DE 22 DE MARÇO DE 2016"/>
        <s v="DECRETO Nº 96.044/2020 - PMB, DE 31 DE MARÇO DE 2020"/>
        <s v="DECRETO N° 111.988/2024 - PMB, DE 13 DE AGOSTO DE 2024, RETIFICADO PELO DECRETO N° 112.888/2024 - PMB, DE 22 DE NOVEMBRO DE 2024"/>
        <s v="PORTARIA Nº 542 / 2007 – PMB, DE 28 DE MAIO DE 2007"/>
        <s v="DECRETO N.º 113.733/2025 – PMB, DE 23 DE JUNHO DE 2025"/>
        <s v="PORTARIA Nº 539 / 2007 – PMB, DE 28 DE MAIO DE 2007"/>
        <s v="DECRETO Nº 90.970/2018 - PMB, DE 4 DE ABRIL DE 2018"/>
        <s v="DECRETO N.º 113.719/2025 – PMB, DE 23 DE JUNHO DE 2025"/>
        <s v="DECRETO N.º 113.718/2025 – PMB, DE 23 DE JUNHO DE 2025"/>
        <s v="LEI Nº 7.481/1990 - PMB, DE 25 DE ABRIL DE 1990"/>
        <s v="PORTARIA Nº 541 / 2007 – PMB, DE 28 DE MAIO DE 2007"/>
        <s v="DECRETO Nº. 81.566/2014 – PMB, 16 DE DEZEMBRO DE 2014"/>
        <s v="DECRETO Nº. 29.205/1996 – PMB, 13 DE SETEMBRO DE 1996"/>
        <s v="PORTARIA Nº 1.314/2008 - GABS, DE 08 DE OUTUBRO DE 2008"/>
        <s v="PORTARIA Nº 561 / 2007 – PMB, DE 28 DE MAIO DE 2007"/>
        <s v="DECRETO Nº 82.887/2015 - PMB, DE 2 DE JUNHO DE 2015"/>
        <s v="PORTARIA Nº 560 / 2007 – PMB, DE 28 DE MAIO DE 2007"/>
        <s v="DECRETO Nº 94.241/2019 - PMB, DE 16 DE JULHO DE 2019"/>
        <s v="DECRETO Nº 95.345/2020 - PMB, DE 09 DE JANEIRO DE 2020"/>
        <s v="DECRETO Nº 94.243/2019 - PMB, DE 16 DE JULHO DE 2019"/>
        <s v="DECRETO Nº 95.195/2019 - PMB, DE 27 DE DEZEMBRO DE 2019"/>
        <s v="DECRETO Nº 82.904/2015 - PMB, DE 3 DE JUNHO DE 2015"/>
        <s v="DECRETO Nº 86.401/2016 - PMB, DE 18 DE AGOSTO DE 2016, RETIFICADO PELO DECRETO Nº 86.769/2016 - PMB, DE 09 DE NOVEMBRO DE 2016"/>
        <s v="DECRETO Nº 86.140/2016 - PMB, DE 11 DE JULHO DE 2016"/>
        <s v="DECRETO Nº 91.069/2018 - PMB, DE 24 DE ABRIL DE 2018"/>
        <s v="DECRETO Nº 95.513/2020 - PMB, DE 03 DE FEVEREIRO DE 2020"/>
        <s v="PORTARIA Nº 1.221 / 2009 – PMB, DE 04 DE DEZEMBRO DE 2009, RETIFICADA PELA PORTARIA Nº 0.436/2010 - GABS, DE 17 DE MAIO DE 2010"/>
        <s v="DECRETO Nº 86.757/2016 - PMB, DE 04 DE NOVEMBRO DE 2016"/>
        <s v="DECRETO Nº 95.304/2020 - PMB, DE 08 DE JANEIRO DE 2020"/>
        <s v="PORTARIA Nº 564 / 2007 – PMB, DE 28 DE MAIO DE 2007"/>
        <s v="PORTARIA Nº 563 / 2007 – PMB, DE 28 DE MAIO DE 2007"/>
        <s v="DECRETO Nº 85.350/2016 - PMB, DE 01 DE ABRIL DE 2016"/>
        <s v="DECRETO Nº 85.302/2016 - PMB, DE 22 DE MARÇO DE 2016"/>
        <s v="DECRETO Nº 111.392/2024 - PMB, DE 26 DE JUNHO DE 2024"/>
        <s v="PORTARIA Nº 562 / 2007 – PMB, DE 28 DE MAIO DE 2007"/>
        <s v="DECRETO Nº 68.678/2011-PMB, DE 21 DE DEZEMBRO DE 2011"/>
        <s v="DECRETO N.º 113.722/2025 – PMB, DE 23 DE JUNHO DE 2025"/>
        <s v="DECRETO N.º 113.721/2025 – PMB, DE 23 DE JUNHO DE 2025"/>
        <s v="DECRETO Nº 93.155/2019 – PMB, DE 20 DE FEVEREIRO DE 2019"/>
        <s v="DECRETO Nº 94.448/2019 - PMB, DE 27 DE AGOSTO DE 2019"/>
        <s v="DECRETO Nº 85.922/2016 – PMB, DE 15 DE JUNHO DE 2016."/>
        <s v="PORTARIA Nº. 031/2010 – GP, DE 02 DE FEVEREIRO DE 2010"/>
        <s v="DECRETO Nº 94.463/2019 - PMB, DE 10 DE SETEMBRO DE 2019"/>
        <s v="LEI ORDINÁRIA Nº 7.747/1995 - PMB, DE 02 DE JANEIRO DE 1995"/>
        <s v="DECRETO Nº 94.460/2019 - PMB, DE 28 DE AGOSTO DE 2019"/>
        <s v="PORTARIA Nº 1.019/2007 - PMB, DE 12 DE SETEMBRO DE 2007"/>
        <s v="DECRETO Nº 85.303/2016 - PMB, DE 22 DE MARÇO DE 2016"/>
        <s v="DECRETO Nº 85.301/2016 - PMB, DE 22 DE MARÇO DE 2016"/>
        <s v="PORTARIA Nº 553 / 2007 – PMB, DE 28 DE MAIO DE 2007"/>
        <s v="DECRETO N.º 113.728/2025 – PMB, DE 23 DE JUNHO DE 2025"/>
        <s v="PORTARIA Nº. 3.259/2020 - GABS, DE 01 DE DEZEMBRO DE 2020"/>
        <s v="DECRETO Nº 111.989/2024 - PMB, DE 13 DE AGOSTO DE 2024."/>
        <s v="DECRETO N.º 113.732/2025 – PMB, DE 23 DE JUNHO DE 2025"/>
        <s v="PORTARIA Nº 554 / 2007 – PMB, DE 28 DE MAIO DE 2007"/>
      </sharedItems>
    </cacheField>
    <cacheField name="Ato de autorização/credenciamento/reconhecimento" numFmtId="0">
      <sharedItems>
        <s v="NÃO LOCALIZADO NO SITE DO CME BELÉM"/>
        <s v="10/2025 - CME, DE 17/06/2025"/>
        <s v="072/2018 - CME, DE 18/12/2018"/>
        <s v="58/2019 - CME, DE 20/12/2019"/>
        <s v="22/2025 - CME, DE 09/09/2025"/>
        <s v="12/2022 - CME, DE 21/12/2022"/>
        <s v="05/2023 - CME, DE 12/04/2023"/>
        <s v="04/2023 - CME, DE 12/04/2023"/>
        <s v="048/2024 - CME, DE 11/12/2024"/>
        <s v="39/2023 - CME, DE 13/12/2023"/>
        <s v="025/2024 - CME, DE 19/06/2024"/>
        <s v="11/2026 - CME, DE 09/06/2026"/>
        <s v="37/2023 - CME, DE 12/12/2023"/>
        <s v="67/2019 - CME, DE 20/12/2019"/>
        <s v="10/2026 - CME, DE 09/06/2026"/>
        <s v="19/2023 - CME, DE 18/10/2023"/>
        <s v="15/2025 - CME, DE 17/06/2025"/>
        <s v="09/2025 - CME, DE 06/05/2025"/>
        <s v="35/2023 - CME, DE 22/11/2023"/>
        <s v="040/2024 - CME, DE 23/10/2024"/>
        <s v="042/2024 - CME, DE 23/10/2024"/>
        <s v="12/2025 - CME, DE 17/06/2025"/>
        <s v="012/2024 - CME, DE 15/05/2024"/>
        <s v="32/2023 - CME, DE 22/11/2023"/>
        <s v="24/2025 - CME, DE 21/10/2025"/>
        <s v="08/2026 - CME, DE 09/06/2026"/>
        <s v="06/2024 - CME, DE 21/02/2024"/>
        <s v="13/2025 - CME, DE 17/06/2025"/>
        <s v="31/2023 - CME, DE 22/11/2023"/>
        <s v="28/2019 - CME, DE 27/02/2019"/>
        <s v="33/2011 - CME, DE 21/12/2011"/>
        <s v="26/2015 - CME, DE 11/11/2015"/>
        <s v="07/2022 - CME, DE 21/09/2022"/>
        <s v="04/2014 - CME, DE 26/03/2014"/>
        <s v="013/2024 - CME, DE 15/05/2024"/>
        <s v="38/2023 - CME, DE 13/12/2023"/>
        <s v="42/2023 - CME, DE 13/12/2023"/>
        <s v="17/2025 - CME, DE 17/06/2025"/>
        <s v="49/2018 - CME, DE 06/06/2018"/>
        <s v="28/2023 - CME, DE 22/11/2023"/>
        <s v="010/2023 - CME, DE 21/06/2023"/>
        <s v="18/2023 - CME, DE 18/10/2023"/>
        <s v="02/2025 - CME, DE 06/05/2025"/>
        <s v="27/2020 - CME, DE 18/11/2020"/>
        <s v="09/2019 - CME, DE 04/01/2019"/>
        <s v="36/2024 - CME, DE 23/10/2024"/>
        <s v="22/2023 - CME, DE 18/10/2023"/>
        <s v="11/2025 - CME, DE 17/06/2025"/>
        <s v="26/2025 - CME, DE 21/10/2025"/>
        <s v="026/2024 - CME, DE 19/06/2024"/>
        <s v="32/2025 - CME, DE 19/12/2025"/>
        <s v="07/2023 - CME, DE 12/04/2023"/>
        <s v="04/2026 CME, DE 28/04/2026"/>
        <s v="03/2026 - CME, DE 28/04/2026"/>
        <s v="034/2024 - CME, DE 23/10/2024"/>
        <s v="8/2019 CME, DE 04/01/2019"/>
        <s v="66/2018 - CME, DE 05/12/2018"/>
        <s v="33/2025 - CME, DE 19/12/2025"/>
        <s v="38/2018 - CME, DE 14/03/2018"/>
        <s v="26/2023 - CME, DE 22/11/2023"/>
        <s v="012/2023 - CME, DE 21/06/2023"/>
        <s v="07/2024 - CME, DE 21/02/2024"/>
        <s v="015/2024 - CME, DE 15/05/2024"/>
        <s v="09/2024 - CME, DE 21/02/2023"/>
        <s v="011/2023 - CME, DE 21/06/2023"/>
        <s v="014/2024 - CME, DE 15/05/2024"/>
        <s v="66/2019 - CME, DE 20/12/2019"/>
        <s v="67/2018 - CME, DE 05/12/2018"/>
        <s v="45/2019 - CME, DE 04/09/2019"/>
        <s v="33/2019 - CME, DE 29/05/2019"/>
        <s v="14/2025 - CME, DE 17/06/2025"/>
        <s v="40/2019 - CME, DE 04/09/2019"/>
        <s v="56/2019 - CME, DE 20/12/2019"/>
        <s v="028/2024 - CME, DE 19/06/2024"/>
        <s v="65/2019 - CME, DE 20/12/2019"/>
        <s v="029/2024 - CME, DE 19/06/2024"/>
        <s v="33/2023 - CME, DE 22/11/2023"/>
        <s v="30/2015 - CME, DE 23/12/2015"/>
        <s v="12/2026 - CME, DE 09/06/2026"/>
        <s v="25/2025 - CME, DE 21/10/2025"/>
        <s v="06/2015 - CME, DE 22/04/2015"/>
        <s v="09/2023 - CME, DE 21/06/2023"/>
        <s v="03/2023 - CME, DE 12/04/2023"/>
        <s v="041/2024 - CME, DE 23/10/2024"/>
        <s v="033/2024 - CME, DE 23/10/2024"/>
        <s v="12/2019 - CME, DE 04/01/2019"/>
        <s v="30/2023 - CME, DE 22/11/2023"/>
        <s v="038/2024 - CME, DE 23/10/2024"/>
        <s v="12/2020 - CME, DE 16/09/2020"/>
        <s v="046/2024 - CME, DE 11/12/2024"/>
        <s v="10/2019 - CME, DE 04/01/2019"/>
        <s v="60/2018 - CME, DE 19/09/2018"/>
        <s v="42/2019 - CME, DE 04/09/2019"/>
        <s v="05/2024 - CME, DE 21/02/2024"/>
        <s v="02/2024 - CME, DE 21/02/2024"/>
        <s v="27/2025 - CME, DE 21/10/2025"/>
        <s v="32/2020 - CME, DE 22/12/2020"/>
        <s v="13/2022 - CME, DE 21/12/2022"/>
        <s v="05/2022 - CME, DE 21/09/2022"/>
        <s v="29/2023 - CME, DE 22/11/2023"/>
        <s v="40/2023 - CME, DE 13/12/2023"/>
        <s v="06/2025 - CME, DE 06/05/2025"/>
        <s v="08/2020 - CME, DE 16/09/2020"/>
        <s v="48/2018 - CME, DE 06/06/2018"/>
        <s v="08/2024 - CME, DE 21/02/2024"/>
        <s v="13/2020 - CME, DE 16/09/2020"/>
        <s v="01/2025 - CME, DE 06/05/2025"/>
        <s v="050/2024 - CME, DE 11/12/2024"/>
        <s v="47/2019 - CME, DE 04/09/2019"/>
        <s v="31/2025 - CME, DE 19/12/2025"/>
        <s v="21/2025 - CME, DE 09/09/2025"/>
        <s v="23/2023 - CME, DE 22/11/2023"/>
        <s v="18/2025 - CME, DE 17/06/2025"/>
        <s v="39/2018 - CME, DE 14/03/2018"/>
        <s v="24/2023 - CME, DE 22/11/2023"/>
        <s v="09/2026 - CME, DE 09/06/2026"/>
        <s v="043/2024 - CME, DE 23/10/2024"/>
        <s v="05/2025 - CME, DE 06/05/2025"/>
        <s v="07/2025 - CME, DE 06/05/2025"/>
        <s v="21/2014 - CME, DE 05/11/2014"/>
        <s v="024/2024 - CME, DE 19/06/2024"/>
        <s v="59/2018 - CME, DE 27/06/2018"/>
        <s v="11/2019 - CME, DE 04/01/2019"/>
        <s v="50/2019 - CME, DE 04/09/2019"/>
        <s v="23/2014 - CME, DE 05/11/2014"/>
        <s v="31/2020 - CME, DE 22/12/2020"/>
        <s v="039/2024 - CME, DE 23/10/2024"/>
        <s v="13/2023 - CME, DE 21/06/2023"/>
        <s v="047/2024 - CME, DE 11/12/2024"/>
        <s v="22/2020 - CME, DE 18/11/2020"/>
        <s v="04/2020 - CME, DE 29/01/2020"/>
        <s v="04/2025 - CME, DE 06/05/2025"/>
        <s v="25/2023 - CME, DE 22/11/2023"/>
        <s v="28/2020 - CME, DE 18/11/2020"/>
        <s v="20/2023 - CME, DE 18/10/2023"/>
        <s v="037/2024 - CME, DE 23/10/2024"/>
        <s v="010/2024 - CME, DE 15/05/2024"/>
        <s v="27/2023 - CME, DE 22/11/2023 "/>
        <s v="03/2025 - CME, DE 06/05/2025"/>
        <s v="20/2025 - CME, DE 09/09/2025"/>
        <s v="08/2025 - CME, DE 06/05/2025"/>
        <s v="59/2019 - CME, DE 20/12/2019"/>
        <s v="14/2015 - CME, DE 26/08/2015"/>
        <s v="011/2024 - CME, DE 15/05/2024"/>
        <s v="36/2023 - CME, DE 22/11/2023"/>
        <s v="80/2018 - CME, DE 19/12/2018"/>
        <s v="049/2024 - CME, DE 11/12/2024"/>
        <s v="04/2024 - CME, DE 21/02/2024"/>
        <s v="16/2025 - CME, DE 17/06/2025"/>
        <s v="28/2025 - CME, DE 21/10/2025"/>
        <s v="48/2019 - CME, DE 04/09/2019"/>
      </sharedItems>
    </cacheField>
    <cacheField name="Vigência do ato">
      <sharedItems containsDate="1" containsBlank="1" containsMixedTypes="1">
        <m/>
        <d v="2030-06-16T00:00:00Z"/>
        <d v="2022-12-11T00:00:00Z"/>
        <d v="2023-03-04T00:00:00Z"/>
        <d v="2026-09-08T00:00:00Z"/>
        <d v="2027-12-20T00:00:00Z"/>
        <d v="2028-04-11T00:00:00Z"/>
        <d v="2029-12-10T00:00:00Z"/>
        <d v="2025-12-12T00:00:00Z"/>
        <d v="2029-06-18T00:00:00Z"/>
        <d v="2027-06-08T00:00:00Z"/>
        <d v="2023-11-12T00:00:00Z"/>
        <d v="2029-06-08T00:00:00Z"/>
        <d v="2028-10-17T00:00:00Z"/>
        <d v="2027-05-05T00:00:00Z"/>
        <d v="2025-11-21T00:00:00Z"/>
        <d v="2029-10-22T00:00:00Z"/>
        <d v="2028-05-14T00:00:00Z"/>
        <d v="2030-10-20T00:00:00Z"/>
        <d v="2031-06-08T00:00:00Z"/>
        <d v="2029-02-20T00:00:00Z"/>
        <d v="2025-12-26T00:00:00Z"/>
        <d v="2020-02-26T00:00:00Z"/>
        <s v="DEFINITIVO"/>
        <d v="2019-11-10T00:00:00Z"/>
        <d v="2027-09-20T00:00:00Z"/>
        <d v="2018-03-25T00:00:00Z"/>
        <d v="2026-05-14T00:00:00Z"/>
        <d v="2023-06-05T00:00:00Z"/>
        <d v="2028-11-21T00:00:00Z"/>
        <d v="2028-06-20T00:00:00Z"/>
        <d v="2025-10-17T00:00:00Z"/>
        <d v="2030-05-05T00:00:00Z"/>
        <d v="2025-10-28T00:00:00Z"/>
        <d v="2023-05-20T00:00:00Z"/>
        <d v="2030-12-18T00:00:00Z"/>
        <d v="2031-04-27T00:00:00Z"/>
        <n v="-618469.0"/>
        <d v="2024-01-03T00:00:00Z"/>
        <d v="2022-11-21T00:00:00Z"/>
        <d v="2023-03-13T00:00:00Z"/>
        <d v="2026-02-20T00:00:00Z"/>
        <d v="2025-02-20T00:00:00Z"/>
        <d v="2029-05-14T00:00:00Z"/>
        <d v="2023-09-26T00:00:00Z"/>
        <d v="2022-12-05T00:00:00Z"/>
        <d v="2024-05-12T00:00:00Z"/>
        <d v="2023-04-19T00:00:00Z"/>
        <d v="2023-07-08T00:00:00Z"/>
        <d v="2022-09-17T00:00:00Z"/>
        <d v="2023-09-13T00:00:00Z"/>
        <d v="2019-12-22T00:00:00Z"/>
        <d v="2028-06-08T00:00:00Z"/>
        <d v="2019-04-21T00:00:00Z"/>
        <d v="2021-12-28T00:00:00Z"/>
        <d v="2024-04-25T00:00:00Z"/>
        <d v="2027-12-10T00:00:00Z"/>
        <d v="2022-04-25T00:00:00Z"/>
        <d v="2021-12-11T00:00:00Z"/>
        <d v="2023-09-25T00:00:00Z"/>
        <d v="2029-10-20T00:00:00Z"/>
        <d v="2025-09-29T00:00:00Z"/>
        <d v="2024-11-21T00:00:00Z"/>
        <d v="2024-12-12T00:00:00Z"/>
        <d v="2024-08-11T00:00:00Z"/>
        <d v="2023-06-12T00:00:00Z"/>
        <d v="2027-09-08T00:00:00Z"/>
        <d v="2018-11-04T00:00:00Z"/>
        <d v="2023-06-26T00:00:00Z"/>
        <d v="2021-11-22T00:00:00Z"/>
        <d v="2023-06-25T00:00:00Z"/>
        <d v="2025-02-17T00:00:00Z"/>
        <d v="2023-10-31T00:00:00Z"/>
        <d v="2023-06-27T00:00:00Z"/>
        <d v="2025-02-13T00:00:00Z"/>
        <d v="2030-09-08T00:00:00Z"/>
        <d v="2023-06-18T00:00:00Z"/>
        <d v="2016-08-25T00:00:00Z"/>
        <d v="2022-01-25T00:00:00Z"/>
        <d v="2024-04-10T00:00:00Z"/>
      </sharedItems>
    </cacheField>
    <cacheField name="Diretor(a)" numFmtId="0">
      <sharedItems containsBlank="1">
        <s v="IRIS CORREA SANTANA - "/>
        <s v="CLAUDICEIA BAIA FERREIRA"/>
        <s v="LADYANNA CHRISTINA DE LIMA"/>
        <s v="ANA DEISE PINTO DA SILVA"/>
        <m/>
        <s v="ROSEANE RODRIGUES SIQUEIRA"/>
        <s v="ROSANGELA PANTOJA MOTA"/>
        <s v="LUCELINA DE SOUSA LIMA"/>
        <s v="AMANDA FERREIRA DA COSTA SA"/>
        <s v="ROSEANE CONCEIÇÃO COUTO VOGADO"/>
        <s v="EDELRA DE JESUS NUNES DOS SANTOS"/>
        <s v="REGEANE CONCEIÇÃO ESTEVES DE LIMA"/>
        <s v="CARLOS ALBERTO DOS SANTOS RAMOS"/>
        <s v="ELIANA MARIA FERREIRA RIBEIRO MALATO"/>
        <s v="MAURICIO MAIA CERQUEIRA FILHO"/>
        <s v="ELIENE CAROLINA CHUCRE MACIEL ALBUQUERQUE"/>
        <s v="LAURIMAR DE MATOS FARIAS"/>
        <s v="JOSILAINE PARAGUASSU PINTO DA SILVA"/>
        <s v="ELAINE CRISTINE RODRIGUES PEREIRA MENDES"/>
        <s v="MARIA GORETTI DE JESUS CARNEIRO"/>
        <s v="KATIANE DO ROSARIO CORREA BARBOSA"/>
        <s v="SANDRA MARIA PANTOJA PINTO"/>
        <s v="SHEILA ALVES DE ARAUJO"/>
        <s v="VANESSA MACHADO DE ANDRADE"/>
        <s v="EULINA DOMINGUES LOPES"/>
        <s v="GIRLANE LOURENÇO DOS SANTOS"/>
        <s v="PAULA ROBERTA DE JESUS MONTEIRO"/>
        <s v="ROSANGELA ALBELIA RODRIGUES RABELO"/>
        <s v="NAYARA ARAUJO DA COSTA FIGUEIREDO"/>
        <s v="SINARA BERNARDO DIAS"/>
        <s v="RUTE RAIOL COSTA"/>
        <s v="VILMA SHEILA AMORAS CONTREIRA"/>
        <s v="EDIR DE SOUZA MORAES"/>
        <s v="JOSE NAZARENO FIGUEIREDO E SILVA"/>
        <s v="GUSTAVO MENDES"/>
        <s v="CLAUDIA MARTINS GOMES"/>
        <s v="MIRIAM AIDA DA SILVA SOARES"/>
        <s v="VANIA DE FATIMA DE SOUZA NERY"/>
        <s v="FABIOLA CALDAS DOS SANTOS"/>
        <s v="LUANDA DA SILVA WANZELLER MAIA"/>
        <s v="ROSANNY DO PERPETUO SOCORRO DE SOUZA LIMA"/>
        <s v="DOMINGAS MACEDO PEREIRA"/>
        <s v="ARLENE FIGUEIREDO LAMEIRA"/>
        <s v="MARIA RAIMUNDA DIAS SANTAREM"/>
        <s v="GISELLE DE NAZARE SANTOS OLIVEIRA"/>
        <s v="TATIANE SANTOS DA SILVA"/>
        <s v="SHEYLA PAULINE FREIRE DA SILVA"/>
        <s v="THAYS KARINA DA SILVA SOUSA"/>
        <s v="PRISCILLA DE CASSIA ARAUJO MOURA"/>
        <s v="ANA PAULA DA SILVA CARNEIRO"/>
        <s v="ELAINE CRISTINA DO NASCIMENTO SILVA"/>
        <s v="GLAUCILENE SANTOS DA SILVA"/>
        <s v="OCIMAR MARCELO SOUZA DE CARVALHO"/>
        <s v="ALCEMIR PANTOJA RODRIGUES"/>
        <s v="LUCIANA CARVALHO DE SOUSA SABIO RAMOS"/>
        <s v="SUELLEN FARIAS DOS SANTOS"/>
        <s v="CARINE FABIANE COELHO FIGUEIREDO"/>
        <s v="DANIELY SENA DOS SANTOS"/>
        <s v="SANDRA SUELY DA SILVA GOMES"/>
        <s v="ANA CARLA SOUSA FREIRE DE ARAUJO"/>
        <s v="LORENA THAIS COSTA CAMPOS"/>
        <s v="MARIA PAULA FERREIRA MAIA DA SILVA"/>
        <s v="ADNILDO PINHEIRO WANZELLER"/>
        <s v="RENATA MAC DOWELL RIBEIRO"/>
        <s v="ROSILEA PANTOJA DOS SANTOS"/>
        <s v="MARY ANNE GAMA DE ALMADA"/>
        <s v="THIAGO AUGUSTO DE OLIVEIRA DA CONCEIÇÃO"/>
        <s v="JULY RAFAELA VASCONCELOS CESAR CALDAS"/>
        <s v="ERICA CRISTINA BARBOSA DA GAMA"/>
        <s v="MARIA AMELIA DA COSTA BARBOSA"/>
        <s v="MAXIMIANA ANTONIA DA SILVA"/>
        <s v="CARMEM LUCIA SANTOS "/>
        <s v="FERNANDO TEIXEIRA DA SILVA"/>
        <s v="GLAICE DA SILVA NASCIMENTO"/>
        <s v="CARLENE SIBELI SODRE DAMASCENO NAHUM"/>
        <s v="VALDILENE SOUZA FRANCO"/>
        <s v="LUNA ALMEIDA RIBEIRO"/>
        <s v="AUREA MARIA"/>
        <s v="SUZELI ROBERTA OLIVEIRA FERREIRA"/>
        <s v="ALESSANDRA HELENA XAVIER TAVARES MIRANDA"/>
        <s v="ANA CRISTINA CORREA PALMEIRA"/>
        <s v="VIVIANA MARLA DE ANDRADE FRAZAO"/>
        <s v="NOEMIA DAS GRAÇAS RODRIGUES DOS SANTOS"/>
        <s v="IVANEIDE DE OLIVEIRA AGUIAR"/>
        <s v="HELEM DO SOCORRO RODRIGUES MAIA"/>
        <s v="GISELE COELHO DE OLIVEIRA"/>
        <s v="JOSE JOAQUIM BARBOSA BASTOS"/>
        <s v="MARIZETE NAZARE PEREIRA RODRIGUES PANTOJA"/>
        <s v="LUCIENNE ELLEM MARTINS COUTINHO"/>
        <s v="ALEX MAURO LIMA DA CONCEIÇÃO"/>
        <s v="VERA LUCIA LIMA LOPES"/>
        <s v="KEITE ALICE RAMOS"/>
        <s v="MARIA DE JESUS CORREA DIAS"/>
        <s v="ANA CLAUDIA DA SILVA MAGALHÃES"/>
        <s v="LILIANE DO NASCIMENTO REIS"/>
        <s v="TAMIRES DE SOUZA MONTEIRO"/>
        <s v="MARIA DO SOCORRO ARAUJO TRINDADE"/>
        <s v="DIONISIO OLIVEIRA FERREIRA JUNIOR"/>
        <s v="JOSIANE CAETANO DE MENDONÇA"/>
        <s v="JOSIANE MARIA DOS SANTOS CONCEIÇÃO"/>
        <s v="JOSIANE FABRICIA DIAS MONTEIRO CAVALCANTE"/>
        <s v="FABRICIO RODRIGO SILVA DE ARAUJO"/>
        <s v="PATRICIA KARENINA TEIXEIRA ANGELIM MENDES"/>
        <s v="JOBETANIA SOCORRO VILHENA DO NASCIMENTO"/>
        <s v="GERSENI OLIVEIRA DA ROCHA"/>
        <s v="ANA CLAUDIA LOBATO NUNES SOUTO"/>
        <s v="MARIA CELIA DA COSTA VALE DE FARIAS"/>
        <s v="LUCIANA DA CUNHA MONTEIRO"/>
        <s v="MARIA DO SOCORRO GOMES DA SILVA"/>
        <s v="VIVIANE ELIETE DA SILVA MOREIRA DA COSTA"/>
        <s v="MARIA DO SOCORRO CEZAR DA SILVA"/>
        <s v="KEILA ROBERTA CAVALHEIRO GUIMARAES"/>
        <s v="VIRGINIA CONCEIÇÃO DE ALMEIDA NUNES"/>
        <s v="ANDREIA MARQUES LOPES GUALBERTO"/>
        <s v="ELIZA DOS SANTOS PINHEIRO"/>
        <s v="MARJA CAROLINA SOARES DE OLIVEIRA"/>
        <s v="CIBELE DE NAZARE MELO DOS SANTOS "/>
        <s v="PATRICIA ANTONIA SOUSA DE LIMA CABRAL"/>
        <s v="EDIVALDO FRANCISCO VILHENA DE OLIVEIRA"/>
        <s v="ADRIANA CRISTINA LOBO TRINDADE"/>
        <s v="RAYIRA ITACENY DE ARAUJO SILVA"/>
        <s v="REJANE DE LIMA SOUZA"/>
        <s v="LIDIANE LIMA SOUSA"/>
        <s v="JULIENNE EDIENNE PEREIRA PANTOJA MONTEIRO"/>
        <s v="HUDSON LEONARDO SILVA RIBEIRO"/>
        <s v="ISVANETE COSTA FERREIRA"/>
        <s v="JACKSON PICANÇO DE OLIVEIRA JUNIOR"/>
        <s v="JOANE SILVA DA SILVA"/>
        <s v="HELENA CRISTINA QUEIROZ MOURA"/>
        <s v="GRACY NERY DE MELO PERALTA"/>
        <s v="ELIANA DO SOCORRO PAIXÃO DA SILVA"/>
        <s v="MERY SANDES COLARES LIMA"/>
        <s v="WILLAMES PAULO BRAZ TRINDADE"/>
        <s v="JOSIANE DA CRUZ MOURA RABELO"/>
        <s v="IVANIZA OLIVEIRA SILVA"/>
        <s v="ANTENOR JUNIOR"/>
        <s v="KATIANE RODRIGUES DOS SANTOS"/>
        <s v="GIOVANE DE OLIVEIRA"/>
        <s v="MARILIA BRITO SOEIRO DE FARIA"/>
        <s v="ALESSANDRA ROCHA DA CRUZ MOURA"/>
        <s v="VIVIANE JACIMARA SOUZA DA SILVA"/>
        <s v="JOSIANE DO SOCORRO DOS SANTOS AZEVEDO MEDEIROS"/>
        <s v="MARIA ELIZA BARBOSA CARDOSO"/>
        <s v="MARCELE ASSUNÇÃO MOREIRA"/>
        <s v="ELISON COUTINHO FERREIRA "/>
        <s v="JENIJUNIO DOS SANTOS "/>
        <s v="ALCILEA DE SOUZA FAZZI"/>
        <s v="SANDRA HELENA DA SILVA COUTINHO DO COUTO"/>
        <s v="MARINA MICIETE PINHEIRO MUNIZ"/>
        <s v="JOSIANE DO SOCORRO DOS SANTOS AZEVEDO MEDEIROS "/>
        <s v="MARCIA MACHADO DE MORAES"/>
        <s v="LECY NAZARE BARBOSA DE CASTRO"/>
        <s v="MARCOS COSTA CARDOSO"/>
        <s v="LUCIENE LISBOA GOMES RIBEIRO"/>
        <s v="DENIZE DE JESUS OLIVEIRA LUZ"/>
        <s v="JOSIANE DE CASSIA DA SILVA SOARES"/>
        <s v="VALERIA CAROLINA MONTEIRO DE CASTRO"/>
        <s v="VALERIA PATRICIA DE FARIAS CUELLAR ALMEIDA"/>
        <s v="ERCILIA PATRICIA VILHENA PEREIRA"/>
        <s v="NARACI MARIA FAVACHO LOBATO"/>
        <s v="DANIELLE DOS SANTOS RODRIGUES"/>
        <s v="CLAUDIA DE JESUS NUNES PIMENTEL MOREIRA"/>
        <s v="NATHALIA PILAR CEREJA DOS SANTOS"/>
        <s v="DEYSE CRISTINE OLIVEIRA DA CRUZ"/>
        <s v="EREDI CARDOSO RODRIGUES MAFRA"/>
        <s v="ELIANE CONCEIÇÃO FERREIRA NEVES"/>
        <s v="DANIELLE DA SILVA BOAIS"/>
        <s v="JOSE AUGUSTO DUARTE"/>
        <s v="MARIANA VIEIRA DA SILVA"/>
        <s v="DIENNE MARLY DE SOUZA PONTES "/>
        <s v="WANESSA DA SILVA REBELO"/>
        <s v="MARISTELA DO SOCORRO SILVA DOS SANTOS"/>
        <s v="GILVANA SOARES PINHEIRO GUERRA"/>
      </sharedItems>
    </cacheField>
    <cacheField name="Contato" numFmtId="0">
      <sharedItems containsString="0" containsBlank="1" containsNumber="1" containsInteger="1">
        <n v="9.81994474E8"/>
        <n v="9.82020921E8"/>
        <n v="9.82634727E8"/>
        <m/>
        <n v="9.87325386E8"/>
        <n v="9.81260269E8"/>
        <n v="9.82683788E8"/>
        <n v="9.91890167E8"/>
        <n v="9.81158733E8"/>
        <n v="9.81144264E8"/>
        <n v="9.85805523E8"/>
        <n v="9.81570042E8"/>
        <n v="9.82799894E8"/>
        <n v="9.84297904E8"/>
        <n v="9.81726775E8"/>
        <n v="9.85470707E8"/>
        <n v="9.82942476E8"/>
        <n v="9.91114184E8"/>
        <n v="9.88079826E8"/>
        <n v="9.841158E8"/>
        <n v="9.86505858E8"/>
        <n v="9.82094242E8"/>
        <n v="9.85382828E8"/>
        <n v="9.82444884E8"/>
        <n v="9.82284941E8"/>
        <n v="9.83003058E8"/>
        <n v="9.89940628E8"/>
        <n v="9.84184444E8"/>
        <n v="9.8016544E8"/>
        <n v="9.96028924E8"/>
        <n v="9.83744312E8"/>
        <n v="9.82683204E8"/>
        <n v="9.85890468E8"/>
        <n v="9.82789467E8"/>
        <n v="9.88113747E8"/>
        <n v="9.86128046E8"/>
        <n v="9.82168443E8"/>
        <n v="9.82585512E8"/>
        <n v="9.89551509E8"/>
        <n v="9.88093255E8"/>
        <n v="9.81032068E8"/>
        <n v="9.85066674E8"/>
        <n v="9.81537028E8"/>
        <n v="9.85005411E8"/>
        <n v="9.84549802E8"/>
        <n v="9.82043891E8"/>
        <n v="9.84190069E8"/>
        <n v="9.84331944E8"/>
        <n v="9.80869992E8"/>
        <n v="9.81240156E8"/>
        <n v="9.91648904E8"/>
        <n v="9.92086034E8"/>
        <n v="9.83590264E8"/>
        <n v="9.83147289E8"/>
        <n v="9.88082333E8"/>
        <n v="9.82032001E8"/>
        <n v="9.82080867E8"/>
        <n v="9.81074041E8"/>
        <n v="9.89264318E8"/>
        <n v="9.83608116E8"/>
        <n v="9.87252756E8"/>
        <n v="9.81153691E8"/>
        <n v="9.8246599E8"/>
        <n v="9.8146407E8"/>
        <n v="9.93506675E8"/>
        <n v="9.88889459E8"/>
        <n v="9.81180492E8"/>
        <n v="9.81065291E8"/>
        <n v="9.86060194E8"/>
        <n v="9.89892905E8"/>
        <n v="9.81995496E8"/>
        <n v="9.81192665E8"/>
        <n v="9.8114394E8"/>
        <n v="9.85529484E8"/>
        <n v="9.9197252E8"/>
        <n v="9.80712262E8"/>
        <n v="9.89267227E8"/>
        <n v="9.88240906E8"/>
        <n v="9.88417364E8"/>
        <n v="9.844440879E9"/>
        <n v="9.88592945E8"/>
        <n v="9.80022002E8"/>
        <n v="9.81691914E8"/>
        <n v="9.99936688E8"/>
        <n v="9.82761662E8"/>
        <n v="9.9944202E8"/>
        <n v="9.82632055E8"/>
        <n v="9.82950091E8"/>
        <n v="9.83334465E8"/>
        <n v="9.8136929E8"/>
        <n v="9.8244923E8"/>
        <n v="9.85201588E8"/>
        <n v="9.84350325E8"/>
        <n v="9.82113546E8"/>
        <n v="9.8888674E8"/>
        <n v="9.83072865E8"/>
        <n v="9.8488353E8"/>
        <n v="9.82266157E8"/>
        <n v="9.86180143E8"/>
        <n v="9.88270536E8"/>
        <n v="9.8182809E8"/>
        <n v="9.93009003E8"/>
        <n v="9.81362569E8"/>
        <n v="9.963685E8"/>
        <n v="9.87119363E8"/>
        <n v="9.84971175E8"/>
        <n v="9.92680419E8"/>
        <n v="9.82689515E8"/>
        <n v="9.8809052E8"/>
        <n v="9.93206602E8"/>
        <n v="9.88535347E8"/>
        <n v="9.80415491E8"/>
        <n v="9.80594679E8"/>
        <n v="9.99664156E8"/>
        <n v="9.99659998E8"/>
        <n v="9.92130022E8"/>
        <n v="9.85722882E8"/>
        <n v="9.98282836E8"/>
        <n v="9.9621105E8"/>
        <n v="9.81191763E8"/>
        <n v="9.84862401E8"/>
        <n v="9.85335837E8"/>
        <n v="9.96413339E8"/>
        <n v="9.84449181E8"/>
        <n v="9.85689249E8"/>
        <n v="9.84346317E8"/>
        <n v="9.81509506E8"/>
        <n v="9.80422334E8"/>
        <n v="9.81300419E8"/>
        <n v="9.86228774E8"/>
        <n v="9.85313693E8"/>
        <n v="9.84696036E8"/>
        <n v="9.85407373E8"/>
        <n v="9.88509973E8"/>
        <n v="9.89930294E8"/>
        <n v="9.85083493E8"/>
        <n v="9.88527913E8"/>
        <n v="9.82899338E8"/>
        <n v="9.81843108E8"/>
        <n v="9.83930145E8"/>
        <n v="9.91903332E8"/>
        <n v="9.83330051E8"/>
        <n v="9.93867265E8"/>
        <n v="9.88244202E8"/>
        <n v="9.80863873E8"/>
        <n v="9.92859495E8"/>
        <n v="9.9963449E8"/>
        <n v="9.81341283E8"/>
        <n v="9.8308058E8"/>
        <n v="9.8121575E8"/>
        <n v="9.82472511E8"/>
        <n v="9.91122442E8"/>
        <n v="9.88128151E8"/>
        <n v="9.85485796E8"/>
        <n v="9.81988099E8"/>
        <n v="9.91233402E8"/>
        <n v="9.81758083E8"/>
        <n v="9.82030283E8"/>
        <n v="9.82402917E8"/>
        <n v="9.89713936E8"/>
        <n v="9.8701408E8"/>
        <n v="9.80265079E8"/>
        <n v="9.87473129E8"/>
        <n v="9.80356372E8"/>
        <n v="9.81409696E8"/>
        <n v="9.81385338E8"/>
        <n v="9.88631828E8"/>
        <n v="9.83150135E8"/>
      </sharedItems>
    </cacheField>
    <cacheField name="Matrícula" numFmtId="0">
      <sharedItems containsBlank="1">
        <s v="0351229- 019"/>
        <s v="1859030- 014"/>
        <s v="0349127- 018"/>
        <m/>
        <s v="0347000- 010"/>
        <s v="0421820- 012"/>
        <s v="0347663- 010"/>
        <s v=" 0348520- 018"/>
        <s v="1861417- 010"/>
        <s v="0411353- 012"/>
        <s v="0346535- 018"/>
        <s v="1964267- 010"/>
        <s v="0289426- 022"/>
        <s v="0346691- 010"/>
        <s v="0373478- 011"/>
        <s v="0027995- 011"/>
        <s v="0370894- 014"/>
        <s v="0348236- 018"/>
        <s v="0048550- 035"/>
        <s v="0273511- 025"/>
        <s v="0351644- 016"/>
        <s v="0574058- 010"/>
        <s v="0347205- 011"/>
        <s v="0411310- 011"/>
        <s v="0410551- 015"/>
        <s v="0422754- 013"/>
        <s v="0248380- 036"/>
        <s v="0566420- 015"/>
        <s v="0348880- 014"/>
        <s v="1861409- 017"/>
        <s v="0557447- 020"/>
        <s v="0347051- 014"/>
        <s v="0352390- 018"/>
        <s v="0348678- 010"/>
        <s v="1923919- 021"/>
        <s v="0363936- 025"/>
        <s v="0372501- 010"/>
        <s v="0375675- 019"/>
        <s v="0370584- 015"/>
        <s v="0346098- 017"/>
        <s v="0041548- 019"/>
        <s v="0410977- 012"/>
        <s v="0373753- 012"/>
        <s v="0348317- 018"/>
        <s v=" 0567175- 014"/>
        <s v="0450707- 024"/>
        <s v="0346705- 029"/>
        <s v="0347680- 011"/>
        <s v="0349879- 010"/>
        <s v="1895125- 011"/>
        <s v="0320765- 024"/>
        <s v="0372706- 010"/>
        <s v="0350508- 011"/>
        <s v="0428280- 013"/>
        <s v="0347817- 017"/>
        <s v="0350281- 017"/>
        <s v="0352080- 019"/>
        <s v="0566586- 010"/>
        <s v="0348449- 011"/>
        <s v="0346063- 019"/>
        <s v="0573965- 013"/>
        <s v="0175811- 016"/>
        <s v="0175900- 019"/>
        <s v=" 0373656- 025"/>
        <s v="0346381- 010"/>
        <s v="0158100- 018"/>
        <s v="0175781- 028"/>
        <s v="0348651- 015"/>
        <s v="0427896- 010"/>
        <s v="0349216- 010"/>
        <s v="2009463- 018"/>
        <s v="0346624- 010"/>
        <s v="0370711- 017"/>
        <s v="1923994- 015"/>
        <s v="1928538- 026"/>
        <s v="1839721- 011"/>
        <s v="0567396- 010"/>
        <s v="0352055- 014"/>
        <s v="0566837- 013"/>
        <s v="1838814- 016"/>
        <s v="0181404- 010"/>
        <s v="0410870- 013"/>
        <s v="0347191- 010"/>
        <s v=" 0200280- 015"/>
        <s v="0346403- 014"/>
        <s v="0378844- 024"/>
        <s v="0161870- 015"/>
        <s v="0347175- 015"/>
        <s v="0567736- 016"/>
        <s v="0051632- 012"/>
        <s v="0347361- 013"/>
        <s v="0347248- 012"/>
        <s v="1961454- 014"/>
        <s v="0305855- 026"/>
        <s v="0374300- 011"/>
        <s v="0474673- 022"/>
        <s v="0378925- 016"/>
        <s v="0348112- 017"/>
        <s v="1861158- 014"/>
        <s v="0350869- 014"/>
        <s v="1861441- 018"/>
        <s v="0373346- 018"/>
        <s v="0155870- 017"/>
        <s v="0269590- 048"/>
        <s v="0421871- 016"/>
        <s v="0411060- 015"/>
        <s v="0421847- 018"/>
        <s v="0346462- 010"/>
        <s v="0441660- 010"/>
        <s v="1992910- 011"/>
        <s v="0347213- 014"/>
        <s v="0347132- 014"/>
        <s v="0383996- 040"/>
        <s v="0370665- 015"/>
        <s v="0427403- 014"/>
        <s v="0345970- 012"/>
        <s v="0567817- 024"/>
        <s v="1860879- 010"/>
        <s v="0346225- 019"/>
        <s v="0293083- 037"/>
        <s v="0346926- 017"/>
        <s v="0346101- 018"/>
        <s v="0157546- 128"/>
        <s v="2008580- 029"/>
        <s v="0454931- 034"/>
        <s v="0568589- 017"/>
        <s v="0568899- 016"/>
        <s v="0474711- 021"/>
        <s v="0347981- 011"/>
        <s v="0352101- 016"/>
        <s v="0371033- 012"/>
        <s v=" 0340863- 021"/>
        <s v="0568279- 018"/>
        <s v="0352470- 011"/>
        <s v="1961349- 016"/>
        <s v="0568325- 010"/>
        <s v="0355887- 010"/>
        <s v="0423750- 011"/>
        <s v="1982370- 014"/>
        <s v="1961306- 015"/>
        <s v="0573256- 012"/>
        <s v="0398594- 031"/>
        <s v="1964925- 018"/>
        <s v="0378950- 010"/>
        <s v="0374857- 016"/>
        <s v="0371971- 012"/>
        <s v="0421731- 010"/>
        <s v="0347060- 013"/>
        <s v="2009072- 027"/>
        <s v="0411027- 018"/>
        <s v="0348082- 010"/>
        <s v="0411566- 016"/>
        <s v="0411337- 017"/>
        <s v="0350370- 010"/>
        <s v="0370681- 010"/>
        <s v="0573388- 016"/>
        <s v="0348856- 016"/>
        <s v="0462152- 030"/>
      </sharedItems>
    </cacheField>
    <cacheField name="Secretário(a) escolar" numFmtId="0">
      <sharedItems containsBlank="1">
        <s v="SEM SECRETARIO"/>
        <s v="ELIANE SANTANA HOMEM"/>
        <m/>
        <s v="ABELARDO BARROSO BRABO"/>
        <s v="IZABEL SEIXAS DE OLIVEIRA"/>
        <s v="RONALDO XAVIER DE CARVALHO"/>
        <s v="ELIETE DO SOCORRO KEMPER MAIA SOUZA"/>
        <s v="RAQUEL RODRIGUES DE MATOS VENTURA"/>
        <s v="REGINA CELIA MELO DOS SANTOS"/>
        <s v="RODRIGO GOMES CEZAR DE SOUSA"/>
        <s v="CARLOS ANTONIO DE SOUZA RODRRIGUES"/>
        <s v="SILVANA PIMENTEL BORGES"/>
        <s v="ROSANGELA VIEIRA DE ARAUJO"/>
        <s v="REGIANE RIBEIRO TEÓFILO"/>
        <s v="IRENILDA MONTEIRO MCHADO"/>
        <s v="NEMESIO LOPES MONTEIRO JUNIOR"/>
        <s v="LIA DA COSTA TAVARES ATAIDE"/>
        <s v="DOMINGAS RAQUEL GONÇALVES MEDEIROS"/>
        <s v="MARCIA REGINA SOUZA CORDEIRO &#10;"/>
        <s v="BRUNA EMANOELLE DA SILVA MORGALHO"/>
        <s v="VALDILENE GALDINO  DA SILVA"/>
        <s v="RENATO MACIEIRA FIGUEIREDO"/>
        <s v="JOSE ANTONIO VAZ VILHENA"/>
        <s v="ROBERTA VALADARES BRITO"/>
        <s v="FABIO LIMA MONTEIRO"/>
        <s v="MARILENE DOS SANTOS MONTEIRO"/>
        <s v="ROSIVALDO GUERREIRO PINHEIRO"/>
        <s v="RUAN TAVARES FREIRES"/>
        <s v="JANEIDE FARIAS DIAS "/>
        <s v="WESLEY JOSE BORGES SOARES"/>
        <s v="ELMAR MOTA JANSEN FILHO"/>
        <s v="MARIA DO SOCORRO DOS SANTOS PINHEIRO"/>
        <s v="DILMA ROSA DOS REMEDIOS"/>
        <s v="JACINEIDE DE FATIMA OLIVEIRA SILVA"/>
        <s v="MARIA LUCIA QUEIROZ ARRUDA"/>
        <s v="ANA CLAUDIA SILVA DO VALE"/>
        <s v="SHIRLENE SOUSA DA NATIVIDADE"/>
        <s v="JOSE RIBAMAR PESSOA DO NASCIMENTO"/>
        <s v="MARIA NAZARE MARINHO DA MOTA"/>
        <s v="SILVIA LUCIA OLIVEIRA DA COSTA"/>
        <s v="MARIA DO SOCORRO MIRANDA MONTEIRO"/>
        <s v="JOSE ARLINDO ESTUMANO DA SILVA"/>
        <s v="ODILA FORMIGOSA SIQUEIRA"/>
        <s v="RODRIGO DOS SANTOS ROSARIO"/>
        <s v="ELIZANGELA ALMEIDA DA SILVA"/>
        <s v="BRASIL HONORATO GOMES SARMENTO NETO"/>
        <s v="RAIMUNDA MONTEIRO MOIA BARATA"/>
        <s v="ROSELI ASSIS DA CONCEIÇÃO"/>
        <s v="SUELLEM NEVES DA COSTA"/>
        <s v="JECIVAN SILVA DOS SANTOS"/>
        <s v="DANIELE RODRIGUES DA SILVA"/>
        <s v="ALEXANDRE AUGUSTO SANTA BRIGIDA DA CONCEIÇÃO"/>
        <s v="LUIZ CLAUDIO FROTA DE OLIVEIRA"/>
        <s v="KATIA TERESA GONÇALVES SANTANA"/>
        <s v="ANDRELINO JUNIOR MESQUITA TAVARES"/>
        <s v="JOAO PAULO DOS SANTOS MONTEIRO"/>
        <s v="HAMILTON DIAS DA SILVA"/>
        <s v="EDILENE LESSA FREITAS E SILVA"/>
        <s v="OTÁVIO PEREIRA DE SOUZA JUNIOR"/>
        <s v="MARCO JOSE SOARES DE ALMEIDA"/>
        <s v="REGINA AMARAL MENDES "/>
        <s v="LILIAN GLEYCE DE OLIVEIRA BARROS"/>
        <s v="ELIAS MARCOS TAVARES DE AMORIM"/>
        <s v="CÁSSIO RIBEIRO DA SILVA"/>
        <s v="MARIA ANGELA CAMPELO JUCA"/>
        <s v="CASSANDRA SANTOS COSTA"/>
        <s v="EDUARDO DA SILVEIRA SALES"/>
        <s v="JOSELENE DO SOCORRO FARIAS DE FREITAS"/>
        <s v="ROSANGELA PARACAMPOS DA SILVA"/>
        <s v="MARCILENO SARAIVA MONTEIRO"/>
        <s v="ROSILEIDE LEAO NAZARE"/>
        <s v="ELIANE NAZARE OLIVEIRA BEZERRA"/>
        <s v="ALUIZIO DO ESPIRITO SANTO FERREIRA"/>
        <s v="ADMA DE FATIMA PAMPLONA DA SILVA"/>
        <s v="MANOEL RAIMUNDO DO VALE SILVA"/>
        <s v="RILDO JAIRO BARBOSA SILVA"/>
        <s v="MARIA LUIZA MONTEIRO DA SILVA"/>
        <s v="CARMEN BASTOS FERREIRA"/>
        <s v="KASSIO ALBERTO CORREA PAULA"/>
        <s v="DILCELLE DE NAZARÉ ANGELIN DA SILVA"/>
        <s v="LADYANNE DA SILVA MACEDO"/>
        <s v="MICHELLE TADAIESKY TAVARES"/>
        <s v="MAURO SERGIO DA SILVA"/>
        <s v="HAMILTON NEVES SILVA"/>
        <s v="SANTILENA DO SOCORRO NOGUEIRA DA SILVA"/>
        <s v="DANIEL DA SILVA SILVA"/>
        <s v="JOSE NIROND PIMENTEL FREITAS"/>
        <s v="CLAIRTON XISTO BARATA BARBOSA"/>
        <s v="CLAUDIANA ALCANFORADO DE OLIVEIRA"/>
        <s v="JHENYFFER  JOICE CASTRO SOUZA"/>
        <s v="MAX DOUGLAS PORTAL GOMES"/>
        <s v="ARTHUR MORAES AMADOR"/>
        <s v="GILDIMAR FERREIRA PEREIRA"/>
        <s v="MARCOS SOUZA FERREIRA"/>
        <s v="ELIETE PORFIRIO DE LIMA"/>
        <s v="ANDRE RICARDO NUNES SALGADO"/>
        <s v="GIOVANNE DOS SANTOS DUARTE"/>
        <s v="CINTIA MARIA ALCOLUMBRE  NOGUEIRA BOUCAS"/>
        <s v="RONALDO MOREIRA BORGES"/>
        <s v="SOLANGE MELO DE MOURA"/>
      </sharedItems>
    </cacheField>
    <cacheField name="matrícula2" numFmtId="0">
      <sharedItems containsBlank="1">
        <m/>
        <s v="0390950-017"/>
        <s v="1954261-010"/>
        <s v="0053821-017"/>
        <s v="1882457-010"/>
        <s v="0047287-012"/>
        <s v="1983083-019"/>
        <s v="0394556-011"/>
        <s v="0427004-012"/>
        <s v="0390518-018"/>
        <s v="2008394-012"/>
        <s v="1996843-017"/>
        <s v="0423351-028"/>
        <s v="0431699-011"/>
        <s v="1836340-017"/>
        <s v="0391050-010"/>
        <s v="0390364-010"/>
        <s v="1992031-018"/>
        <s v="0391042-017"/>
        <s v="1882511-015"/>
        <s v="0427284-015"/>
        <s v="0427241-014"/>
        <s v="1992527-016"/>
        <s v="1996860-019"/>
        <s v="1836633-014"/>
        <s v="1916459-029"/>
        <s v="0390674-010"/>
        <s v="0421901-012"/>
        <s v="0391182-013"/>
        <s v="0391166-018"/>
        <s v="0392677-016"/>
        <s v="0390852-015"/>
        <s v="1915088-019"/>
        <s v="2031876-010"/>
        <s v="1992023-015"/>
        <s v="0390534-013"/>
        <s v="0390577-014"/>
        <s v="1862758-023"/>
        <s v="198808-011"/>
        <s v="0047724-013"/>
        <s v="1895320-019"/>
        <s v="0049603-019"/>
        <s v="0391000-012"/>
        <s v="1991906-010"/>
        <s v="1842870-014"/>
        <s v="1882422-012"/>
        <s v="0390550-019"/>
        <s v="0426997-018"/>
        <s v="0393924-017"/>
        <s v="1983067-013"/>
        <s v="1836714-014"/>
        <s v="1836544-011"/>
        <s v="0457035-013"/>
        <s v="0322989-027"/>
        <s v="0394580-010"/>
        <s v="0391107-011"/>
        <s v="1954466-010"/>
        <s v="0954490-019"/>
        <s v="0395021-014"/>
        <s v="0392170-017"/>
        <s v="2882485-020"/>
        <s v="0426954-017"/>
        <s v="1882384-013"/>
        <s v="1991868-011"/>
        <s v="0394955-013"/>
        <s v="0325082-022"/>
        <s v="1954563-016"/>
        <s v="0053589-017"/>
        <s v="0053422-015"/>
        <s v="1992139-013"/>
        <s v="0324370-024"/>
        <s v="1889230-011"/>
        <s v="1840746-014"/>
        <s v="1865641-011"/>
        <s v="1870483-011"/>
        <s v="0049611-011"/>
        <s v="0394688-015"/>
        <s v="0390542-016"/>
        <s v="0538957-018"/>
        <s v="0390020-010"/>
        <s v="0390178-012"/>
        <s v="0390259-012"/>
        <s v="0197963-021"/>
        <s v="0415260-027"/>
        <s v="0433969-024"/>
        <s v="1836285-016"/>
        <s v="0394971-019"/>
        <s v="0394319-010"/>
        <s v="0394238-010"/>
        <s v="0391085-018"/>
        <s v="1989421-013"/>
        <s v="1882376-010"/>
        <s v="1894293-018"/>
        <s v="0390100-013"/>
        <s v="0426970-012"/>
        <s v="1836595-015"/>
        <s v="1991361-014"/>
        <s v="0054062-012"/>
      </sharedItems>
    </cacheField>
    <cacheField name="Data da atualização">
      <sharedItems containsDate="1" containsBlank="1" containsMixedTypes="1">
        <d v="2026-08-31T00:00:00Z"/>
        <s v="8/31/2026"/>
        <m/>
      </sharedItems>
    </cacheField>
    <cacheField name="Observações cadastrais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istritoBairro" cacheId="0" dataCaption="" compact="0" compactData="0">
  <location ref="A1:K57" firstHeaderRow="0" firstDataRow="2" firstDataCol="1"/>
  <pivotFields>
    <pivotField name="Distrito" axis="axisCol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t="default"/>
      </items>
    </pivotField>
    <pivotField name="Bairro" axis="axisRow" compact="0" outline="0" multipleItemSelectionAllowed="1" showAll="0" sortType="ascending">
      <items>
        <item sd="0" x="44"/>
        <item sd="0" x="16"/>
        <item sd="0" x="26"/>
        <item sd="0" x="27"/>
        <item sd="0" x="34"/>
        <item sd="0" x="35"/>
        <item sd="0" x="17"/>
        <item sd="0" x="36"/>
        <item sd="0" x="49"/>
        <item sd="0" x="0"/>
        <item sd="0" x="7"/>
        <item sd="0" x="45"/>
        <item sd="0" x="8"/>
        <item sd="0" x="28"/>
        <item sd="0" x="23"/>
        <item sd="0" x="37"/>
        <item sd="0" x="18"/>
        <item sd="0" x="38"/>
        <item sd="0" x="24"/>
        <item sd="0" x="9"/>
        <item sd="0" x="46"/>
        <item sd="0" x="25"/>
        <item sd="0" x="29"/>
        <item sd="0" x="19"/>
        <item sd="0" x="39"/>
        <item sd="0" x="50"/>
        <item sd="0" x="1"/>
        <item sd="0" x="47"/>
        <item sd="0" x="2"/>
        <item sd="0" x="10"/>
        <item sd="0" x="30"/>
        <item sd="0" x="40"/>
        <item sd="0" x="20"/>
        <item sd="0" x="21"/>
        <item sd="0" x="3"/>
        <item sd="0" x="4"/>
        <item sd="0" x="31"/>
        <item sd="0" x="11"/>
        <item sd="0" x="51"/>
        <item sd="0" x="32"/>
        <item sd="0" x="12"/>
        <item sd="0" x="52"/>
        <item sd="0" x="5"/>
        <item sd="0" x="13"/>
        <item sd="0" x="41"/>
        <item sd="0" x="48"/>
        <item sd="0" x="22"/>
        <item sd="0" x="42"/>
        <item sd="0" x="14"/>
        <item sd="0" x="53"/>
        <item sd="0" x="33"/>
        <item sd="0" x="6"/>
        <item sd="0" x="15"/>
        <item sd="0" x="43"/>
        <item t="default"/>
      </items>
    </pivotField>
    <pivotField name="Rede/Vínculo" compact="0" outline="0" multipleItemSelectionAllowed="1" showAll="0">
      <items>
        <item x="0"/>
        <item x="1"/>
        <item t="default"/>
      </items>
    </pivotField>
    <pivotField name="Código INEP/MEC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Nome da unidade" axis="axisRow" dataField="1" compact="0" outline="0" multipleItemSelectionAllowed="1" showAll="0" sortType="ascending">
      <items>
        <item x="197"/>
        <item x="70"/>
        <item x="1"/>
        <item x="104"/>
        <item x="205"/>
        <item x="3"/>
        <item x="132"/>
        <item x="186"/>
        <item x="39"/>
        <item x="105"/>
        <item x="177"/>
        <item x="178"/>
        <item x="179"/>
        <item x="206"/>
        <item x="180"/>
        <item x="187"/>
        <item x="16"/>
        <item x="33"/>
        <item x="48"/>
        <item x="213"/>
        <item x="49"/>
        <item x="92"/>
        <item x="115"/>
        <item x="93"/>
        <item x="184"/>
        <item x="112"/>
        <item x="50"/>
        <item x="129"/>
        <item x="207"/>
        <item x="94"/>
        <item x="17"/>
        <item x="10"/>
        <item x="4"/>
        <item x="23"/>
        <item x="24"/>
        <item x="71"/>
        <item x="161"/>
        <item x="136"/>
        <item x="166"/>
        <item x="137"/>
        <item x="12"/>
        <item x="62"/>
        <item x="143"/>
        <item x="74"/>
        <item x="144"/>
        <item x="193"/>
        <item x="51"/>
        <item x="145"/>
        <item x="162"/>
        <item x="26"/>
        <item x="27"/>
        <item x="133"/>
        <item x="85"/>
        <item x="214"/>
        <item x="5"/>
        <item x="95"/>
        <item x="198"/>
        <item x="208"/>
        <item x="158"/>
        <item x="86"/>
        <item x="18"/>
        <item x="134"/>
        <item x="146"/>
        <item x="159"/>
        <item x="13"/>
        <item x="116"/>
        <item x="194"/>
        <item x="199"/>
        <item x="135"/>
        <item x="190"/>
        <item x="149"/>
        <item x="34"/>
        <item x="35"/>
        <item x="36"/>
        <item x="147"/>
        <item x="130"/>
        <item x="209"/>
        <item x="41"/>
        <item x="188"/>
        <item x="28"/>
        <item x="156"/>
        <item x="157"/>
        <item x="181"/>
        <item x="182"/>
        <item x="183"/>
        <item x="173"/>
        <item x="25"/>
        <item x="96"/>
        <item x="168"/>
        <item x="42"/>
        <item x="97"/>
        <item x="89"/>
        <item x="195"/>
        <item x="14"/>
        <item x="189"/>
        <item x="40"/>
        <item x="15"/>
        <item x="90"/>
        <item x="52"/>
        <item x="131"/>
        <item x="98"/>
        <item x="106"/>
        <item x="107"/>
        <item x="210"/>
        <item x="175"/>
        <item x="196"/>
        <item x="63"/>
        <item x="75"/>
        <item x="215"/>
        <item x="211"/>
        <item x="53"/>
        <item x="201"/>
        <item x="160"/>
        <item x="124"/>
        <item x="6"/>
        <item x="113"/>
        <item x="174"/>
        <item x="19"/>
        <item x="64"/>
        <item x="54"/>
        <item x="150"/>
        <item x="212"/>
        <item x="125"/>
        <item x="117"/>
        <item x="170"/>
        <item x="191"/>
        <item x="108"/>
        <item x="171"/>
        <item x="87"/>
        <item x="55"/>
        <item x="56"/>
        <item x="43"/>
        <item x="61"/>
        <item x="126"/>
        <item x="65"/>
        <item x="29"/>
        <item x="99"/>
        <item x="202"/>
        <item x="79"/>
        <item x="167"/>
        <item x="118"/>
        <item x="66"/>
        <item x="83"/>
        <item x="216"/>
        <item x="44"/>
        <item x="45"/>
        <item x="2"/>
        <item x="138"/>
        <item x="185"/>
        <item x="151"/>
        <item x="100"/>
        <item x="152"/>
        <item x="176"/>
        <item x="30"/>
        <item x="57"/>
        <item x="58"/>
        <item x="20"/>
        <item x="80"/>
        <item x="139"/>
        <item x="47"/>
        <item x="59"/>
        <item x="21"/>
        <item x="77"/>
        <item x="101"/>
        <item x="127"/>
        <item x="7"/>
        <item x="140"/>
        <item x="0"/>
        <item x="141"/>
        <item x="60"/>
        <item x="8"/>
        <item x="148"/>
        <item x="192"/>
        <item x="153"/>
        <item x="109"/>
        <item x="72"/>
        <item x="78"/>
        <item x="169"/>
        <item x="81"/>
        <item x="200"/>
        <item x="73"/>
        <item x="110"/>
        <item x="163"/>
        <item x="9"/>
        <item x="123"/>
        <item x="203"/>
        <item x="82"/>
        <item x="102"/>
        <item x="69"/>
        <item x="114"/>
        <item x="84"/>
        <item x="172"/>
        <item x="119"/>
        <item x="31"/>
        <item x="46"/>
        <item x="32"/>
        <item x="88"/>
        <item x="120"/>
        <item x="121"/>
        <item x="154"/>
        <item x="91"/>
        <item x="67"/>
        <item x="68"/>
        <item x="204"/>
        <item x="37"/>
        <item x="76"/>
        <item x="164"/>
        <item x="155"/>
        <item x="165"/>
        <item x="11"/>
        <item x="122"/>
        <item x="103"/>
        <item x="111"/>
        <item x="22"/>
        <item x="38"/>
        <item x="142"/>
        <item x="128"/>
        <item t="default"/>
      </items>
    </pivotField>
    <pivotField name="Situação" compact="0" outline="0" multipleItemSelectionAllowed="1" showAll="0">
      <items>
        <item x="0"/>
        <item t="default"/>
      </items>
    </pivotField>
    <pivotField name="Tipo de unidade" compact="0" outline="0" multipleItemSelectionAllowed="1" showAll="0">
      <items>
        <item x="0"/>
        <item x="1"/>
        <item x="2"/>
        <item t="default"/>
      </items>
    </pivotField>
    <pivotField name="Distrito do anex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ipo do prédio" compact="0" outline="0" multipleItemSelectionAllowed="1" showAll="0">
      <items>
        <item x="0"/>
        <item x="1"/>
        <item x="2"/>
        <item t="default"/>
      </items>
    </pivotField>
    <pivotField name="Tipo de contra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Zona" compact="0" outline="0" multipleItemSelectionAllowed="1" showAll="0">
      <items>
        <item x="0"/>
        <item x="1"/>
        <item t="default"/>
      </items>
    </pivotField>
    <pivotField name="Endereç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name="Núme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name="Comple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CEP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Telef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E-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Ato de cria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Ato de autorização/credenciamento/reconheci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Vigência do a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Diretor(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t="default"/>
      </items>
    </pivotField>
    <pivotField name="Conta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Matrícul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Secretário(a) escol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matrícula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Data da atualização" compact="0" outline="0" multipleItemSelectionAllowed="1" showAll="0">
      <items>
        <item x="0"/>
        <item x="1"/>
        <item x="2"/>
        <item t="default"/>
      </items>
    </pivotField>
    <pivotField name="Observações cadastrais" compact="0" outline="0" multipleItemSelectionAllowed="1" showAll="0">
      <items>
        <item x="0"/>
        <item t="default"/>
      </items>
    </pivotField>
  </pivotFields>
  <rowFields>
    <field x="1"/>
    <field x="4"/>
  </rowFields>
  <colFields>
    <field x="0"/>
  </colFields>
  <dataFields>
    <dataField name="COUNTA of Nome da unidade" fld="4" subtotal="count" baseField="0"/>
  </dataFields>
</pivotTableDefinition>
</file>

<file path=xl/tables/table1.xml><?xml version="1.0" encoding="utf-8"?>
<table xmlns="http://schemas.openxmlformats.org/spreadsheetml/2006/main" ref="A5:AA222" displayName="CadastroEnderecoTable" name="CadastroEnderecoTable" id="1">
  <autoFilter ref="$A$5:$AA$222"/>
  <tableColumns count="27">
    <tableColumn name="Distrito" id="1"/>
    <tableColumn name="Bairro" id="2"/>
    <tableColumn name="Rede/Vínculo" id="3"/>
    <tableColumn name="Código INEP/MEC" id="4"/>
    <tableColumn name="Nome da unidade" id="5"/>
    <tableColumn name="Situação" id="6"/>
    <tableColumn name="Tipo de unidade" id="7"/>
    <tableColumn name="Distrito do anexo" id="8"/>
    <tableColumn name="Tipo do prédio" id="9"/>
    <tableColumn name="Tipo de contrato" id="10"/>
    <tableColumn name="Zona" id="11"/>
    <tableColumn name="Endereço" id="12"/>
    <tableColumn name="Número" id="13"/>
    <tableColumn name="Complemento" id="14"/>
    <tableColumn name="CEP" id="15"/>
    <tableColumn name="Telefone" id="16"/>
    <tableColumn name="E-mail" id="17"/>
    <tableColumn name="Ato de criação" id="18"/>
    <tableColumn name="Ato de autorização/credenciamento/reconhecimento" id="19"/>
    <tableColumn name="Vigência do ato" id="20"/>
    <tableColumn name="Diretor(a)" id="21"/>
    <tableColumn name="Contato" id="22"/>
    <tableColumn name="Matrícula" id="23"/>
    <tableColumn name="Secretário(a) escolar" id="24"/>
    <tableColumn name="Matrícula 2" id="25"/>
    <tableColumn name="Data da atualização" id="26"/>
    <tableColumn name="Observações cadastrais" id="27"/>
  </tableColumns>
  <tableStyleInfo name="Cadastro Unidades-style" showColumnStripes="0" showFirstColumn="1" showLastColumn="1" showRowStripes="1"/>
</table>
</file>

<file path=xl/tables/table2.xml><?xml version="1.0" encoding="utf-8"?>
<table xmlns="http://schemas.openxmlformats.org/spreadsheetml/2006/main" ref="A6:J59" displayName="ListaMestraChecklistTable" name="ListaMestraChecklistTable" id="2">
  <tableColumns count="10">
    <tableColumn name="Código" id="1"/>
    <tableColumn name="Seção do Checklist" id="2"/>
    <tableColumn name="Documento/item de controle" id="3"/>
    <tableColumn name="Evidência mínima" id="4"/>
    <tableColumn name="Abrangência/periodicidade" id="5"/>
    <tableColumn name="Criticidade" id="6"/>
    <tableColumn name="Peso" id="7"/>
    <tableColumn name="Origem no Checklist" id="8"/>
    <tableColumn name="Responsável primário" id="9"/>
    <tableColumn name="Orientação de conferência" id="10"/>
  </tableColumns>
  <tableStyleInfo name="Lista Mestra-style" showColumnStripes="0" showFirstColumn="1" showLastColumn="1" showRowStripes="1"/>
</table>
</file>

<file path=xl/tables/table3.xml><?xml version="1.0" encoding="utf-8"?>
<table xmlns="http://schemas.openxmlformats.org/spreadsheetml/2006/main" ref="A5:O222" displayName="PlanoAuditoriaChecklistTable" name="PlanoAuditoriaChecklistTable" id="3">
  <autoFilter ref="$A$5:$O$222"/>
  <tableColumns count="15">
    <tableColumn name="ID auditoria" id="1"/>
    <tableColumn name="Unidade" id="2"/>
    <tableColumn name="Distrito" id="3"/>
    <tableColumn name="Tipo de verificação" id="4"/>
    <tableColumn name="Prioridade" id="5"/>
    <tableColumn name="Data planejada" id="6"/>
    <tableColumn name="Data realizada" id="7"/>
    <tableColumn name="Auditor(a)/equipe" id="8"/>
    <tableColumn name="Situação" id="9"/>
    <tableColumn name="Itens previstos" id="10"/>
    <tableColumn name="Itens avaliados" id="11"/>
    <tableColumn name="Índice ponderado" id="12"/>
    <tableColumn name="NC críticas" id="13"/>
    <tableColumn name="Checklist da visita concluído" id="14"/>
    <tableColumn name="Observações" id="15"/>
  </tableColumns>
  <tableStyleInfo name="Plano de Auditoria-style" showColumnStripes="0" showFirstColumn="1" showLastColumn="1" showRowStripes="1"/>
</table>
</file>

<file path=xl/tables/table4.xml><?xml version="1.0" encoding="utf-8"?>
<table xmlns="http://schemas.openxmlformats.org/spreadsheetml/2006/main" ref="A6:T60" displayName="AuditoriaChecklistIntegralTable" name="AuditoriaChecklistIntegralTable" id="4">
  <tableColumns count="20">
    <tableColumn name="ID auditoria" id="1"/>
    <tableColumn name="Data" id="2"/>
    <tableColumn name="Unidade" id="3"/>
    <tableColumn name="Distrito" id="4"/>
    <tableColumn name="Auditor(a)" id="5"/>
    <tableColumn name="Bairro" id="6"/>
    <tableColumn name="Seção do Checklist" id="7"/>
    <tableColumn name="Documento/item" id="8"/>
    <tableColumn name="Evidência esperada" id="9"/>
    <tableColumn name="Peso" id="10"/>
    <tableColumn name="Situação" id="11"/>
    <tableColumn name="Evidência/localização" id="12"/>
    <tableColumn name="Peso aplicável" id="13"/>
    <tableColumn name="Pontos" id="14"/>
    <tableColumn name="Índice do item" id="15"/>
    <tableColumn name="Achado/observação" id="16"/>
    <tableColumn name="Requer ação?" id="17"/>
    <tableColumn name="Prazo" id="18"/>
    <tableColumn name="Responsável" id="19"/>
    <tableColumn name="Situação da ação" id="20"/>
  </tableColumns>
  <tableStyleInfo name="Auditoria Documental-style" showColumnStripes="0" showFirstColumn="1" showLastColumn="1" showRowStripes="1"/>
</table>
</file>

<file path=xl/tables/table5.xml><?xml version="1.0" encoding="utf-8"?>
<table xmlns="http://schemas.openxmlformats.org/spreadsheetml/2006/main" ref="A6:O506" displayName="PlanoAcaoChecklistTable" name="PlanoAcaoChecklistTable" id="5">
  <tableColumns count="15">
    <tableColumn name="ID ação" id="1"/>
    <tableColumn name="ID auditoria" id="2"/>
    <tableColumn name="Unidade" id="3"/>
    <tableColumn name="Código do item" id="4"/>
    <tableColumn name="Achado" id="5"/>
    <tableColumn name="Ação corretiva" id="6"/>
    <tableColumn name="Prioridade" id="7"/>
    <tableColumn name="Responsável" id="8"/>
    <tableColumn name="Data de abertura" id="9"/>
    <tableColumn name="Prazo" id="10"/>
    <tableColumn name="Dias restantes" id="11"/>
    <tableColumn name="Situação" id="12"/>
    <tableColumn name="Evidência de conclusão" id="13"/>
    <tableColumn name="Data de conclusão" id="14"/>
    <tableColumn name="Validação CDE" id="15"/>
  </tableColumns>
  <tableStyleInfo name="Plano de Açã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4.0"/>
    <col customWidth="1" min="2" max="2" width="82.0"/>
    <col customWidth="1" min="3" max="3" width="52.0"/>
    <col customWidth="1" min="4" max="4" width="45.0"/>
    <col customWidth="1" min="5" max="26" width="8.63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3"/>
    </row>
    <row r="2" ht="30.0" customHeight="1">
      <c r="A2" s="4" t="s">
        <v>1</v>
      </c>
      <c r="B2" s="2"/>
      <c r="C2" s="2"/>
      <c r="D2" s="2"/>
      <c r="E2" s="2"/>
      <c r="F2" s="2"/>
      <c r="G2" s="2"/>
      <c r="H2" s="3"/>
    </row>
    <row r="3" ht="3.75" customHeight="1">
      <c r="A3" s="5"/>
      <c r="B3" s="5"/>
      <c r="C3" s="5"/>
      <c r="D3" s="5"/>
      <c r="E3" s="5"/>
      <c r="F3" s="5"/>
      <c r="G3" s="5"/>
      <c r="H3" s="5"/>
    </row>
    <row r="4" ht="14.25" customHeight="1"/>
    <row r="5" ht="49.5" customHeight="1">
      <c r="A5" s="6" t="s">
        <v>2</v>
      </c>
      <c r="B5" s="7" t="s">
        <v>3</v>
      </c>
    </row>
    <row r="6" ht="49.5" customHeight="1">
      <c r="A6" s="6" t="s">
        <v>4</v>
      </c>
      <c r="B6" s="7" t="s">
        <v>5</v>
      </c>
    </row>
    <row r="7" ht="49.5" customHeight="1">
      <c r="A7" s="6" t="s">
        <v>6</v>
      </c>
      <c r="B7" s="7" t="s">
        <v>7</v>
      </c>
    </row>
    <row r="8" ht="49.5" customHeight="1">
      <c r="A8" s="6" t="s">
        <v>8</v>
      </c>
      <c r="B8" s="7" t="s">
        <v>9</v>
      </c>
    </row>
    <row r="9" ht="49.5" customHeight="1">
      <c r="A9" s="6" t="s">
        <v>10</v>
      </c>
      <c r="B9" s="7" t="s">
        <v>11</v>
      </c>
    </row>
    <row r="10" ht="49.5" customHeight="1">
      <c r="A10" s="6" t="s">
        <v>12</v>
      </c>
      <c r="B10" s="7" t="s">
        <v>13</v>
      </c>
    </row>
    <row r="11" ht="49.5" customHeight="1">
      <c r="A11" s="6" t="s">
        <v>14</v>
      </c>
      <c r="B11" s="7" t="s">
        <v>15</v>
      </c>
    </row>
    <row r="12" ht="49.5" customHeight="1">
      <c r="A12" s="6" t="s">
        <v>16</v>
      </c>
      <c r="B12" s="7" t="s">
        <v>17</v>
      </c>
    </row>
    <row r="13" ht="14.25" customHeight="1"/>
    <row r="14" ht="14.25" customHeight="1"/>
    <row r="15" ht="14.25" customHeight="1">
      <c r="A15" s="8" t="s">
        <v>18</v>
      </c>
      <c r="B15" s="2"/>
      <c r="C15" s="2"/>
      <c r="D15" s="3"/>
    </row>
    <row r="16" ht="37.5" customHeight="1">
      <c r="A16" s="9" t="s">
        <v>19</v>
      </c>
      <c r="B16" s="9" t="s">
        <v>20</v>
      </c>
      <c r="C16" s="9" t="s">
        <v>21</v>
      </c>
      <c r="D16" s="9" t="s">
        <v>22</v>
      </c>
    </row>
    <row r="17" ht="37.5" customHeight="1">
      <c r="A17" s="10" t="s">
        <v>23</v>
      </c>
      <c r="B17" s="10" t="s">
        <v>24</v>
      </c>
      <c r="C17" s="10" t="s">
        <v>25</v>
      </c>
      <c r="D17" s="10" t="s">
        <v>26</v>
      </c>
    </row>
    <row r="18" ht="37.5" customHeight="1">
      <c r="A18" s="11" t="s">
        <v>27</v>
      </c>
      <c r="B18" s="11" t="s">
        <v>28</v>
      </c>
      <c r="C18" s="11" t="s">
        <v>29</v>
      </c>
      <c r="D18" s="11" t="s">
        <v>30</v>
      </c>
    </row>
    <row r="19" ht="37.5" customHeight="1">
      <c r="A19" s="11" t="s">
        <v>31</v>
      </c>
      <c r="B19" s="11" t="s">
        <v>32</v>
      </c>
      <c r="C19" s="11" t="s">
        <v>33</v>
      </c>
      <c r="D19" s="11" t="s">
        <v>34</v>
      </c>
    </row>
    <row r="20" ht="37.5" customHeight="1">
      <c r="A20" s="12" t="s">
        <v>35</v>
      </c>
      <c r="B20" s="12" t="s">
        <v>36</v>
      </c>
      <c r="C20" s="12" t="s">
        <v>37</v>
      </c>
      <c r="D20" s="12" t="s">
        <v>38</v>
      </c>
    </row>
    <row r="21" ht="14.25" customHeight="1"/>
    <row r="22" ht="14.25" customHeight="1"/>
    <row r="23" ht="14.25" customHeight="1">
      <c r="A23" s="13" t="s">
        <v>39</v>
      </c>
      <c r="B23" s="2"/>
      <c r="C23" s="2"/>
      <c r="D23" s="2"/>
      <c r="E23" s="2"/>
      <c r="F23" s="2"/>
      <c r="G23" s="2"/>
      <c r="H23" s="3"/>
    </row>
    <row r="24" ht="43.5" customHeight="1">
      <c r="A24" s="14" t="s">
        <v>40</v>
      </c>
      <c r="B24" s="15" t="s">
        <v>41</v>
      </c>
    </row>
    <row r="25" ht="43.5" customHeight="1">
      <c r="A25" s="14" t="s">
        <v>42</v>
      </c>
      <c r="B25" s="15" t="s">
        <v>43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H1"/>
    <mergeCell ref="A2:H2"/>
    <mergeCell ref="A15:D15"/>
    <mergeCell ref="A23:H23"/>
  </mergeCells>
  <conditionalFormatting sqref="A17:A20">
    <cfRule type="expression" dxfId="0" priority="1">
      <formula>A17="Conforme"</formula>
    </cfRule>
  </conditionalFormatting>
  <conditionalFormatting sqref="A17:A20">
    <cfRule type="expression" dxfId="1" priority="2">
      <formula>A17="Parcialmente conforme"</formula>
    </cfRule>
  </conditionalFormatting>
  <conditionalFormatting sqref="A17:A20">
    <cfRule type="expression" dxfId="2" priority="3">
      <formula>A17="Não conforme"</formula>
    </cfRule>
  </conditionalFormatting>
  <conditionalFormatting sqref="A17:A20">
    <cfRule type="expression" dxfId="3" priority="4">
      <formula>A17="Não se aplica"</formula>
    </cfRule>
  </conditionalFormatting>
  <conditionalFormatting sqref="A17:A20">
    <cfRule type="expression" dxfId="4" priority="5">
      <formula>A17="Não avaliado"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75"/>
    <col customWidth="1" min="2" max="2" width="24.0"/>
    <col customWidth="1" min="3" max="3" width="17.0"/>
    <col customWidth="1" min="4" max="4" width="16.0"/>
    <col customWidth="1" min="5" max="5" width="54.0"/>
    <col customWidth="1" min="6" max="6" width="9.38"/>
    <col customWidth="1" min="7" max="7" width="10.38"/>
    <col customWidth="1" min="8" max="9" width="10.0"/>
    <col customWidth="1" min="10" max="10" width="9.38"/>
    <col customWidth="1" min="11" max="11" width="8.63"/>
    <col customWidth="1" min="12" max="12" width="15.5"/>
    <col customWidth="1" min="13" max="13" width="11.0"/>
    <col customWidth="1" min="14" max="14" width="36.0"/>
    <col customWidth="1" min="15" max="15" width="13.0"/>
    <col customWidth="1" min="16" max="16" width="15.0"/>
    <col customWidth="1" min="17" max="17" width="30.0"/>
    <col customWidth="1" min="18" max="18" width="15.5"/>
    <col customWidth="1" min="19" max="19" width="14.63"/>
    <col customWidth="1" min="20" max="20" width="11.63"/>
    <col customWidth="1" min="21" max="22" width="26.25"/>
    <col customWidth="1" min="23" max="23" width="15.75"/>
    <col customWidth="1" min="24" max="24" width="25.0"/>
    <col customWidth="1" min="25" max="25" width="21.38"/>
    <col customWidth="1" min="26" max="26" width="17.0"/>
    <col customWidth="1" min="27" max="27" width="40.0"/>
    <col customWidth="1" min="28" max="29" width="8.63"/>
  </cols>
  <sheetData>
    <row r="1" ht="33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ht="30.0" customHeight="1">
      <c r="A2" s="4" t="s">
        <v>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/>
    </row>
    <row r="3" ht="3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6"/>
      <c r="S3" s="17"/>
      <c r="T3" s="16"/>
      <c r="U3" s="18"/>
      <c r="V3" s="19"/>
      <c r="W3" s="20"/>
      <c r="X3" s="5"/>
      <c r="Y3" s="16"/>
      <c r="Z3" s="5"/>
      <c r="AA3" s="5"/>
    </row>
    <row r="4" ht="14.25" customHeight="1">
      <c r="I4" s="21"/>
      <c r="R4" s="22"/>
      <c r="S4" s="23"/>
      <c r="T4" s="22"/>
      <c r="U4" s="24"/>
      <c r="V4" s="25"/>
      <c r="W4" s="26"/>
      <c r="Y4" s="22"/>
    </row>
    <row r="5" ht="33.75" customHeight="1">
      <c r="A5" s="27" t="s">
        <v>45</v>
      </c>
      <c r="B5" s="27" t="s">
        <v>46</v>
      </c>
      <c r="C5" s="27" t="s">
        <v>47</v>
      </c>
      <c r="D5" s="27" t="s">
        <v>48</v>
      </c>
      <c r="E5" s="27" t="s">
        <v>49</v>
      </c>
      <c r="F5" s="27" t="s">
        <v>19</v>
      </c>
      <c r="G5" s="27" t="s">
        <v>50</v>
      </c>
      <c r="H5" s="27" t="s">
        <v>51</v>
      </c>
      <c r="I5" s="27" t="s">
        <v>52</v>
      </c>
      <c r="J5" s="27" t="s">
        <v>53</v>
      </c>
      <c r="K5" s="27" t="s">
        <v>54</v>
      </c>
      <c r="L5" s="27" t="s">
        <v>55</v>
      </c>
      <c r="M5" s="27" t="s">
        <v>56</v>
      </c>
      <c r="N5" s="27" t="s">
        <v>57</v>
      </c>
      <c r="O5" s="27" t="s">
        <v>58</v>
      </c>
      <c r="P5" s="27" t="s">
        <v>59</v>
      </c>
      <c r="Q5" s="27" t="s">
        <v>60</v>
      </c>
      <c r="R5" s="27" t="s">
        <v>61</v>
      </c>
      <c r="S5" s="27" t="s">
        <v>62</v>
      </c>
      <c r="T5" s="27" t="s">
        <v>63</v>
      </c>
      <c r="U5" s="27" t="s">
        <v>64</v>
      </c>
      <c r="V5" s="28" t="s">
        <v>65</v>
      </c>
      <c r="W5" s="28" t="s">
        <v>66</v>
      </c>
      <c r="X5" s="27" t="s">
        <v>67</v>
      </c>
      <c r="Y5" s="28" t="s">
        <v>68</v>
      </c>
      <c r="Z5" s="27" t="s">
        <v>69</v>
      </c>
      <c r="AA5" s="27" t="s">
        <v>70</v>
      </c>
    </row>
    <row r="6" ht="14.25" customHeight="1">
      <c r="A6" s="29" t="s">
        <v>71</v>
      </c>
      <c r="B6" s="29" t="s">
        <v>72</v>
      </c>
      <c r="C6" s="29" t="s">
        <v>73</v>
      </c>
      <c r="D6" s="30" t="s">
        <v>74</v>
      </c>
      <c r="E6" s="29" t="s">
        <v>75</v>
      </c>
      <c r="F6" s="29" t="s">
        <v>76</v>
      </c>
      <c r="G6" s="29" t="s">
        <v>77</v>
      </c>
      <c r="H6" s="31" t="s">
        <v>71</v>
      </c>
      <c r="I6" s="31" t="s">
        <v>73</v>
      </c>
      <c r="J6" s="32" t="s">
        <v>78</v>
      </c>
      <c r="K6" s="31" t="s">
        <v>79</v>
      </c>
      <c r="L6" s="29" t="s">
        <v>80</v>
      </c>
      <c r="M6" s="29" t="s">
        <v>81</v>
      </c>
      <c r="N6" s="29" t="s">
        <v>82</v>
      </c>
      <c r="O6" s="30" t="s">
        <v>83</v>
      </c>
      <c r="P6" s="30"/>
      <c r="Q6" s="29" t="s">
        <v>84</v>
      </c>
      <c r="R6" s="33" t="s">
        <v>85</v>
      </c>
      <c r="S6" s="34" t="s">
        <v>86</v>
      </c>
      <c r="T6" s="35"/>
      <c r="U6" s="31" t="s">
        <v>87</v>
      </c>
      <c r="V6" s="36">
        <v>9.81994474E8</v>
      </c>
      <c r="W6" s="33" t="s">
        <v>88</v>
      </c>
      <c r="X6" s="31" t="s">
        <v>89</v>
      </c>
      <c r="Y6" s="35"/>
      <c r="Z6" s="37">
        <v>46265.0</v>
      </c>
      <c r="AA6" s="29"/>
      <c r="AB6" s="38"/>
      <c r="AC6" s="38"/>
    </row>
    <row r="7" ht="14.25" customHeight="1">
      <c r="A7" s="39" t="s">
        <v>71</v>
      </c>
      <c r="B7" s="39" t="s">
        <v>90</v>
      </c>
      <c r="C7" s="39" t="s">
        <v>73</v>
      </c>
      <c r="D7" s="40" t="s">
        <v>91</v>
      </c>
      <c r="E7" s="39" t="s">
        <v>92</v>
      </c>
      <c r="F7" s="39" t="s">
        <v>76</v>
      </c>
      <c r="G7" s="39" t="s">
        <v>93</v>
      </c>
      <c r="H7" s="41" t="s">
        <v>71</v>
      </c>
      <c r="I7" s="41" t="s">
        <v>73</v>
      </c>
      <c r="J7" s="42" t="s">
        <v>78</v>
      </c>
      <c r="K7" s="41" t="s">
        <v>79</v>
      </c>
      <c r="L7" s="39" t="s">
        <v>94</v>
      </c>
      <c r="M7" s="39" t="s">
        <v>95</v>
      </c>
      <c r="N7" s="39" t="s">
        <v>96</v>
      </c>
      <c r="O7" s="40" t="s">
        <v>97</v>
      </c>
      <c r="P7" s="40"/>
      <c r="Q7" s="39" t="s">
        <v>98</v>
      </c>
      <c r="R7" s="43"/>
      <c r="S7" s="44" t="s">
        <v>99</v>
      </c>
      <c r="T7" s="45">
        <v>47650.0</v>
      </c>
      <c r="U7" s="42" t="s">
        <v>100</v>
      </c>
      <c r="V7" s="46">
        <v>9.82020921E8</v>
      </c>
      <c r="W7" s="47" t="s">
        <v>101</v>
      </c>
      <c r="X7" s="41" t="s">
        <v>89</v>
      </c>
      <c r="Y7" s="48"/>
      <c r="Z7" s="49">
        <v>46265.0</v>
      </c>
      <c r="AA7" s="39"/>
      <c r="AB7" s="38"/>
      <c r="AC7" s="38"/>
    </row>
    <row r="8" ht="14.25" customHeight="1">
      <c r="A8" s="39" t="s">
        <v>71</v>
      </c>
      <c r="B8" s="39" t="s">
        <v>102</v>
      </c>
      <c r="C8" s="39" t="s">
        <v>73</v>
      </c>
      <c r="D8" s="40" t="s">
        <v>103</v>
      </c>
      <c r="E8" s="39" t="s">
        <v>104</v>
      </c>
      <c r="F8" s="39" t="s">
        <v>76</v>
      </c>
      <c r="G8" s="39" t="s">
        <v>77</v>
      </c>
      <c r="H8" s="41" t="s">
        <v>71</v>
      </c>
      <c r="I8" s="41" t="s">
        <v>73</v>
      </c>
      <c r="J8" s="50" t="s">
        <v>105</v>
      </c>
      <c r="K8" s="41" t="s">
        <v>79</v>
      </c>
      <c r="L8" s="39" t="s">
        <v>106</v>
      </c>
      <c r="M8" s="39" t="s">
        <v>107</v>
      </c>
      <c r="N8" s="39" t="s">
        <v>108</v>
      </c>
      <c r="O8" s="40" t="s">
        <v>109</v>
      </c>
      <c r="P8" s="40"/>
      <c r="Q8" s="39" t="s">
        <v>110</v>
      </c>
      <c r="R8" s="43"/>
      <c r="S8" s="51" t="s">
        <v>111</v>
      </c>
      <c r="T8" s="52">
        <v>44906.0</v>
      </c>
      <c r="U8" s="41" t="s">
        <v>112</v>
      </c>
      <c r="V8" s="53">
        <v>9.82634727E8</v>
      </c>
      <c r="W8" s="54" t="s">
        <v>113</v>
      </c>
      <c r="X8" s="41" t="s">
        <v>114</v>
      </c>
      <c r="Y8" s="55" t="s">
        <v>115</v>
      </c>
      <c r="Z8" s="49">
        <v>46265.0</v>
      </c>
      <c r="AA8" s="39"/>
      <c r="AB8" s="38"/>
      <c r="AC8" s="38"/>
    </row>
    <row r="9" ht="14.25" customHeight="1">
      <c r="A9" s="39" t="s">
        <v>71</v>
      </c>
      <c r="B9" s="39" t="s">
        <v>116</v>
      </c>
      <c r="C9" s="39" t="s">
        <v>73</v>
      </c>
      <c r="D9" s="40" t="s">
        <v>117</v>
      </c>
      <c r="E9" s="39" t="s">
        <v>118</v>
      </c>
      <c r="F9" s="39" t="s">
        <v>76</v>
      </c>
      <c r="G9" s="39" t="s">
        <v>93</v>
      </c>
      <c r="H9" s="41" t="s">
        <v>71</v>
      </c>
      <c r="I9" s="41" t="s">
        <v>73</v>
      </c>
      <c r="J9" s="42" t="s">
        <v>78</v>
      </c>
      <c r="K9" s="41" t="s">
        <v>79</v>
      </c>
      <c r="L9" s="39" t="s">
        <v>119</v>
      </c>
      <c r="M9" s="39" t="s">
        <v>120</v>
      </c>
      <c r="N9" s="39" t="s">
        <v>121</v>
      </c>
      <c r="O9" s="40" t="s">
        <v>122</v>
      </c>
      <c r="P9" s="40"/>
      <c r="Q9" s="39" t="s">
        <v>123</v>
      </c>
      <c r="R9" s="43"/>
      <c r="S9" s="51" t="s">
        <v>124</v>
      </c>
      <c r="T9" s="52">
        <v>44989.0</v>
      </c>
      <c r="U9" s="42" t="s">
        <v>125</v>
      </c>
      <c r="V9" s="56"/>
      <c r="W9" s="57"/>
      <c r="X9" s="39"/>
      <c r="Y9" s="48"/>
      <c r="Z9" s="49">
        <v>46265.0</v>
      </c>
      <c r="AA9" s="39"/>
      <c r="AB9" s="38"/>
      <c r="AC9" s="38"/>
    </row>
    <row r="10" ht="14.25" customHeight="1">
      <c r="A10" s="39" t="s">
        <v>71</v>
      </c>
      <c r="B10" s="39" t="s">
        <v>116</v>
      </c>
      <c r="C10" s="39" t="s">
        <v>126</v>
      </c>
      <c r="D10" s="40" t="s">
        <v>127</v>
      </c>
      <c r="E10" s="39" t="s">
        <v>128</v>
      </c>
      <c r="F10" s="39" t="s">
        <v>76</v>
      </c>
      <c r="G10" s="39" t="s">
        <v>93</v>
      </c>
      <c r="H10" s="39"/>
      <c r="I10" s="39"/>
      <c r="J10" s="39" t="s">
        <v>129</v>
      </c>
      <c r="K10" s="39" t="s">
        <v>79</v>
      </c>
      <c r="L10" s="39" t="s">
        <v>130</v>
      </c>
      <c r="M10" s="39" t="s">
        <v>131</v>
      </c>
      <c r="N10" s="39"/>
      <c r="O10" s="40" t="s">
        <v>132</v>
      </c>
      <c r="P10" s="40"/>
      <c r="Q10" s="39"/>
      <c r="R10" s="43" t="s">
        <v>133</v>
      </c>
      <c r="S10" s="44" t="s">
        <v>86</v>
      </c>
      <c r="T10" s="48"/>
      <c r="U10" s="58"/>
      <c r="V10" s="59"/>
      <c r="W10" s="57"/>
      <c r="X10" s="39"/>
      <c r="Y10" s="48"/>
      <c r="Z10" s="49">
        <v>46265.0</v>
      </c>
      <c r="AA10" s="39"/>
      <c r="AB10" s="38"/>
      <c r="AC10" s="38"/>
    </row>
    <row r="11" ht="14.25" customHeight="1">
      <c r="A11" s="39" t="s">
        <v>71</v>
      </c>
      <c r="B11" s="39" t="s">
        <v>116</v>
      </c>
      <c r="C11" s="39" t="s">
        <v>73</v>
      </c>
      <c r="D11" s="40" t="s">
        <v>117</v>
      </c>
      <c r="E11" s="39" t="s">
        <v>134</v>
      </c>
      <c r="F11" s="39" t="s">
        <v>76</v>
      </c>
      <c r="G11" s="39" t="s">
        <v>77</v>
      </c>
      <c r="H11" s="41" t="s">
        <v>71</v>
      </c>
      <c r="I11" s="42" t="s">
        <v>73</v>
      </c>
      <c r="J11" s="42" t="s">
        <v>105</v>
      </c>
      <c r="K11" s="41" t="s">
        <v>79</v>
      </c>
      <c r="L11" s="39" t="s">
        <v>135</v>
      </c>
      <c r="M11" s="39" t="s">
        <v>136</v>
      </c>
      <c r="N11" s="39" t="s">
        <v>137</v>
      </c>
      <c r="O11" s="40" t="s">
        <v>138</v>
      </c>
      <c r="P11" s="40"/>
      <c r="Q11" s="39"/>
      <c r="R11" s="43"/>
      <c r="S11" s="51" t="s">
        <v>124</v>
      </c>
      <c r="T11" s="52">
        <v>44989.0</v>
      </c>
      <c r="U11" s="41" t="s">
        <v>139</v>
      </c>
      <c r="V11" s="53"/>
      <c r="W11" s="60" t="s">
        <v>140</v>
      </c>
      <c r="X11" s="41" t="s">
        <v>141</v>
      </c>
      <c r="Y11" s="55" t="s">
        <v>142</v>
      </c>
      <c r="Z11" s="49">
        <v>46265.0</v>
      </c>
      <c r="AA11" s="39"/>
      <c r="AB11" s="38"/>
      <c r="AC11" s="38"/>
    </row>
    <row r="12" ht="14.25" customHeight="1">
      <c r="A12" s="39" t="s">
        <v>71</v>
      </c>
      <c r="B12" s="39" t="s">
        <v>116</v>
      </c>
      <c r="C12" s="39" t="s">
        <v>73</v>
      </c>
      <c r="D12" s="40" t="s">
        <v>143</v>
      </c>
      <c r="E12" s="39" t="s">
        <v>144</v>
      </c>
      <c r="F12" s="39" t="s">
        <v>76</v>
      </c>
      <c r="G12" s="39" t="s">
        <v>77</v>
      </c>
      <c r="H12" s="41" t="s">
        <v>71</v>
      </c>
      <c r="I12" s="41" t="s">
        <v>73</v>
      </c>
      <c r="J12" s="50" t="s">
        <v>145</v>
      </c>
      <c r="K12" s="41" t="s">
        <v>79</v>
      </c>
      <c r="L12" s="39" t="s">
        <v>146</v>
      </c>
      <c r="M12" s="39" t="s">
        <v>147</v>
      </c>
      <c r="N12" s="39"/>
      <c r="O12" s="40" t="s">
        <v>148</v>
      </c>
      <c r="P12" s="40"/>
      <c r="Q12" s="39" t="s">
        <v>149</v>
      </c>
      <c r="R12" s="43" t="s">
        <v>150</v>
      </c>
      <c r="S12" s="44" t="s">
        <v>151</v>
      </c>
      <c r="T12" s="45">
        <v>46273.0</v>
      </c>
      <c r="U12" s="41" t="s">
        <v>152</v>
      </c>
      <c r="V12" s="53">
        <v>9.87325386E8</v>
      </c>
      <c r="W12" s="60" t="s">
        <v>153</v>
      </c>
      <c r="X12" s="41" t="s">
        <v>154</v>
      </c>
      <c r="Y12" s="55" t="s">
        <v>155</v>
      </c>
      <c r="Z12" s="49">
        <v>46265.0</v>
      </c>
      <c r="AA12" s="39"/>
      <c r="AB12" s="38"/>
      <c r="AC12" s="38"/>
    </row>
    <row r="13" ht="14.25" customHeight="1">
      <c r="A13" s="39" t="s">
        <v>71</v>
      </c>
      <c r="B13" s="39" t="s">
        <v>116</v>
      </c>
      <c r="C13" s="39" t="s">
        <v>73</v>
      </c>
      <c r="D13" s="40" t="s">
        <v>156</v>
      </c>
      <c r="E13" s="39" t="s">
        <v>157</v>
      </c>
      <c r="F13" s="39" t="s">
        <v>76</v>
      </c>
      <c r="G13" s="39" t="s">
        <v>77</v>
      </c>
      <c r="H13" s="41" t="s">
        <v>71</v>
      </c>
      <c r="I13" s="41" t="s">
        <v>73</v>
      </c>
      <c r="J13" s="42" t="s">
        <v>105</v>
      </c>
      <c r="K13" s="41" t="s">
        <v>79</v>
      </c>
      <c r="L13" s="39" t="s">
        <v>119</v>
      </c>
      <c r="M13" s="39" t="s">
        <v>158</v>
      </c>
      <c r="N13" s="39" t="s">
        <v>159</v>
      </c>
      <c r="O13" s="40" t="s">
        <v>160</v>
      </c>
      <c r="P13" s="40"/>
      <c r="Q13" s="39" t="s">
        <v>161</v>
      </c>
      <c r="R13" s="33" t="s">
        <v>162</v>
      </c>
      <c r="S13" s="44" t="s">
        <v>163</v>
      </c>
      <c r="T13" s="61">
        <v>46741.0</v>
      </c>
      <c r="U13" s="41" t="s">
        <v>164</v>
      </c>
      <c r="V13" s="53">
        <v>9.81260269E8</v>
      </c>
      <c r="W13" s="60" t="s">
        <v>165</v>
      </c>
      <c r="X13" s="39"/>
      <c r="Y13" s="48"/>
      <c r="Z13" s="49">
        <v>46265.0</v>
      </c>
      <c r="AA13" s="39"/>
      <c r="AB13" s="38"/>
      <c r="AC13" s="38"/>
    </row>
    <row r="14" ht="14.25" customHeight="1">
      <c r="A14" s="39" t="s">
        <v>71</v>
      </c>
      <c r="B14" s="39" t="s">
        <v>116</v>
      </c>
      <c r="C14" s="39" t="s">
        <v>73</v>
      </c>
      <c r="D14" s="40" t="s">
        <v>166</v>
      </c>
      <c r="E14" s="39" t="s">
        <v>167</v>
      </c>
      <c r="F14" s="39" t="s">
        <v>76</v>
      </c>
      <c r="G14" s="39" t="s">
        <v>77</v>
      </c>
      <c r="H14" s="41" t="s">
        <v>71</v>
      </c>
      <c r="I14" s="41" t="s">
        <v>73</v>
      </c>
      <c r="J14" s="50" t="s">
        <v>78</v>
      </c>
      <c r="K14" s="41" t="s">
        <v>79</v>
      </c>
      <c r="L14" s="39" t="s">
        <v>168</v>
      </c>
      <c r="M14" s="39" t="s">
        <v>169</v>
      </c>
      <c r="N14" s="39" t="s">
        <v>170</v>
      </c>
      <c r="O14" s="40" t="s">
        <v>171</v>
      </c>
      <c r="P14" s="40"/>
      <c r="Q14" s="39" t="s">
        <v>172</v>
      </c>
      <c r="R14" s="33" t="s">
        <v>173</v>
      </c>
      <c r="S14" s="44" t="s">
        <v>174</v>
      </c>
      <c r="T14" s="45">
        <v>46854.0</v>
      </c>
      <c r="U14" s="41" t="s">
        <v>175</v>
      </c>
      <c r="V14" s="55">
        <v>9.82683788E8</v>
      </c>
      <c r="W14" s="43" t="s">
        <v>176</v>
      </c>
      <c r="X14" s="39"/>
      <c r="Y14" s="48"/>
      <c r="Z14" s="49">
        <v>46265.0</v>
      </c>
      <c r="AA14" s="39"/>
      <c r="AB14" s="38"/>
      <c r="AC14" s="38"/>
    </row>
    <row r="15" ht="14.25" customHeight="1">
      <c r="A15" s="39" t="s">
        <v>71</v>
      </c>
      <c r="B15" s="39" t="s">
        <v>116</v>
      </c>
      <c r="C15" s="39" t="s">
        <v>73</v>
      </c>
      <c r="D15" s="40" t="s">
        <v>177</v>
      </c>
      <c r="E15" s="39" t="s">
        <v>178</v>
      </c>
      <c r="F15" s="39" t="s">
        <v>76</v>
      </c>
      <c r="G15" s="39" t="s">
        <v>77</v>
      </c>
      <c r="H15" s="41" t="s">
        <v>71</v>
      </c>
      <c r="I15" s="41" t="s">
        <v>73</v>
      </c>
      <c r="J15" s="42" t="s">
        <v>105</v>
      </c>
      <c r="K15" s="41" t="s">
        <v>79</v>
      </c>
      <c r="L15" s="39" t="s">
        <v>179</v>
      </c>
      <c r="M15" s="39" t="s">
        <v>180</v>
      </c>
      <c r="N15" s="39" t="s">
        <v>181</v>
      </c>
      <c r="O15" s="40" t="s">
        <v>182</v>
      </c>
      <c r="P15" s="40"/>
      <c r="Q15" s="39" t="s">
        <v>183</v>
      </c>
      <c r="R15" s="43"/>
      <c r="S15" s="44" t="s">
        <v>184</v>
      </c>
      <c r="T15" s="45">
        <v>46854.0</v>
      </c>
      <c r="U15" s="41" t="s">
        <v>185</v>
      </c>
      <c r="V15" s="53">
        <v>9.91890167E8</v>
      </c>
      <c r="W15" s="60" t="s">
        <v>186</v>
      </c>
      <c r="X15" s="41" t="s">
        <v>187</v>
      </c>
      <c r="Y15" s="55" t="s">
        <v>188</v>
      </c>
      <c r="Z15" s="49">
        <v>46265.0</v>
      </c>
      <c r="AA15" s="39"/>
      <c r="AB15" s="38"/>
      <c r="AC15" s="38"/>
    </row>
    <row r="16" ht="14.25" customHeight="1">
      <c r="A16" s="39" t="s">
        <v>71</v>
      </c>
      <c r="B16" s="39" t="s">
        <v>189</v>
      </c>
      <c r="C16" s="39" t="s">
        <v>73</v>
      </c>
      <c r="D16" s="40" t="s">
        <v>190</v>
      </c>
      <c r="E16" s="39" t="s">
        <v>191</v>
      </c>
      <c r="F16" s="39" t="s">
        <v>76</v>
      </c>
      <c r="G16" s="39" t="s">
        <v>77</v>
      </c>
      <c r="H16" s="41" t="s">
        <v>71</v>
      </c>
      <c r="I16" s="41" t="s">
        <v>73</v>
      </c>
      <c r="J16" s="50" t="s">
        <v>192</v>
      </c>
      <c r="K16" s="41" t="s">
        <v>79</v>
      </c>
      <c r="L16" s="39" t="s">
        <v>193</v>
      </c>
      <c r="M16" s="39" t="s">
        <v>194</v>
      </c>
      <c r="N16" s="39" t="s">
        <v>195</v>
      </c>
      <c r="O16" s="40" t="s">
        <v>196</v>
      </c>
      <c r="P16" s="40"/>
      <c r="Q16" s="39" t="s">
        <v>197</v>
      </c>
      <c r="R16" s="43"/>
      <c r="S16" s="44" t="s">
        <v>86</v>
      </c>
      <c r="T16" s="48"/>
      <c r="U16" s="41" t="s">
        <v>198</v>
      </c>
      <c r="V16" s="53">
        <v>9.81158733E8</v>
      </c>
      <c r="W16" s="54" t="s">
        <v>199</v>
      </c>
      <c r="X16" s="39"/>
      <c r="Y16" s="48"/>
      <c r="Z16" s="49">
        <v>46265.0</v>
      </c>
      <c r="AA16" s="39"/>
      <c r="AB16" s="38"/>
      <c r="AC16" s="38"/>
    </row>
    <row r="17" ht="14.25" customHeight="1">
      <c r="A17" s="39" t="s">
        <v>71</v>
      </c>
      <c r="B17" s="39" t="s">
        <v>189</v>
      </c>
      <c r="C17" s="39" t="s">
        <v>126</v>
      </c>
      <c r="D17" s="40" t="s">
        <v>200</v>
      </c>
      <c r="E17" s="39" t="s">
        <v>201</v>
      </c>
      <c r="F17" s="39" t="s">
        <v>76</v>
      </c>
      <c r="G17" s="39" t="s">
        <v>202</v>
      </c>
      <c r="H17" s="41" t="s">
        <v>71</v>
      </c>
      <c r="I17" s="39" t="s">
        <v>203</v>
      </c>
      <c r="J17" s="39" t="s">
        <v>129</v>
      </c>
      <c r="K17" s="39" t="s">
        <v>79</v>
      </c>
      <c r="L17" s="39" t="s">
        <v>204</v>
      </c>
      <c r="M17" s="39" t="s">
        <v>205</v>
      </c>
      <c r="N17" s="39"/>
      <c r="O17" s="40" t="s">
        <v>206</v>
      </c>
      <c r="P17" s="40" t="s">
        <v>207</v>
      </c>
      <c r="Q17" s="39"/>
      <c r="R17" s="43" t="s">
        <v>133</v>
      </c>
      <c r="S17" s="44" t="s">
        <v>208</v>
      </c>
      <c r="T17" s="61">
        <v>47462.0</v>
      </c>
      <c r="U17" s="39"/>
      <c r="V17" s="48"/>
      <c r="W17" s="57"/>
      <c r="X17" s="39"/>
      <c r="Y17" s="48"/>
      <c r="Z17" s="49">
        <v>46265.0</v>
      </c>
      <c r="AA17" s="39"/>
      <c r="AB17" s="38"/>
      <c r="AC17" s="38"/>
    </row>
    <row r="18" ht="14.25" customHeight="1">
      <c r="A18" s="39" t="s">
        <v>71</v>
      </c>
      <c r="B18" s="39" t="s">
        <v>209</v>
      </c>
      <c r="C18" s="39" t="s">
        <v>126</v>
      </c>
      <c r="D18" s="40" t="s">
        <v>210</v>
      </c>
      <c r="E18" s="39" t="s">
        <v>211</v>
      </c>
      <c r="F18" s="39" t="s">
        <v>76</v>
      </c>
      <c r="G18" s="39" t="s">
        <v>202</v>
      </c>
      <c r="H18" s="41" t="s">
        <v>71</v>
      </c>
      <c r="I18" s="39" t="s">
        <v>203</v>
      </c>
      <c r="J18" s="39" t="s">
        <v>129</v>
      </c>
      <c r="K18" s="39" t="s">
        <v>79</v>
      </c>
      <c r="L18" s="39" t="s">
        <v>212</v>
      </c>
      <c r="M18" s="39" t="s">
        <v>213</v>
      </c>
      <c r="N18" s="39"/>
      <c r="O18" s="40" t="s">
        <v>214</v>
      </c>
      <c r="P18" s="40" t="s">
        <v>215</v>
      </c>
      <c r="Q18" s="39"/>
      <c r="R18" s="43" t="s">
        <v>133</v>
      </c>
      <c r="S18" s="51" t="s">
        <v>216</v>
      </c>
      <c r="T18" s="52">
        <v>46003.0</v>
      </c>
      <c r="U18" s="39"/>
      <c r="V18" s="48"/>
      <c r="W18" s="57"/>
      <c r="X18" s="39"/>
      <c r="Y18" s="48"/>
      <c r="Z18" s="49">
        <v>46265.0</v>
      </c>
      <c r="AA18" s="39"/>
      <c r="AB18" s="38"/>
      <c r="AC18" s="38"/>
    </row>
    <row r="19" ht="14.25" customHeight="1">
      <c r="A19" s="39" t="s">
        <v>71</v>
      </c>
      <c r="B19" s="39" t="s">
        <v>209</v>
      </c>
      <c r="C19" s="39" t="s">
        <v>73</v>
      </c>
      <c r="D19" s="40" t="s">
        <v>217</v>
      </c>
      <c r="E19" s="39" t="s">
        <v>218</v>
      </c>
      <c r="F19" s="39" t="s">
        <v>76</v>
      </c>
      <c r="G19" s="39" t="s">
        <v>77</v>
      </c>
      <c r="H19" s="41" t="s">
        <v>71</v>
      </c>
      <c r="I19" s="41" t="s">
        <v>73</v>
      </c>
      <c r="J19" s="42" t="s">
        <v>105</v>
      </c>
      <c r="K19" s="41" t="s">
        <v>79</v>
      </c>
      <c r="L19" s="39" t="s">
        <v>219</v>
      </c>
      <c r="M19" s="39" t="s">
        <v>220</v>
      </c>
      <c r="N19" s="39"/>
      <c r="O19" s="40" t="s">
        <v>221</v>
      </c>
      <c r="P19" s="40"/>
      <c r="Q19" s="39" t="s">
        <v>222</v>
      </c>
      <c r="R19" s="43"/>
      <c r="S19" s="44" t="s">
        <v>223</v>
      </c>
      <c r="T19" s="45">
        <v>47287.0</v>
      </c>
      <c r="U19" s="41" t="s">
        <v>224</v>
      </c>
      <c r="V19" s="53">
        <v>9.81144264E8</v>
      </c>
      <c r="W19" s="54" t="s">
        <v>225</v>
      </c>
      <c r="X19" s="41" t="s">
        <v>226</v>
      </c>
      <c r="Y19" s="55" t="s">
        <v>227</v>
      </c>
      <c r="Z19" s="49">
        <v>46265.0</v>
      </c>
      <c r="AA19" s="39"/>
      <c r="AB19" s="38"/>
      <c r="AC19" s="38"/>
    </row>
    <row r="20" ht="14.25" customHeight="1">
      <c r="A20" s="39" t="s">
        <v>71</v>
      </c>
      <c r="B20" s="39" t="s">
        <v>209</v>
      </c>
      <c r="C20" s="39" t="s">
        <v>73</v>
      </c>
      <c r="D20" s="40" t="s">
        <v>228</v>
      </c>
      <c r="E20" s="39" t="s">
        <v>229</v>
      </c>
      <c r="F20" s="39" t="s">
        <v>76</v>
      </c>
      <c r="G20" s="39" t="s">
        <v>77</v>
      </c>
      <c r="H20" s="41" t="s">
        <v>71</v>
      </c>
      <c r="I20" s="41" t="s">
        <v>73</v>
      </c>
      <c r="J20" s="50" t="s">
        <v>105</v>
      </c>
      <c r="K20" s="41" t="s">
        <v>79</v>
      </c>
      <c r="L20" s="39" t="s">
        <v>230</v>
      </c>
      <c r="M20" s="39" t="s">
        <v>231</v>
      </c>
      <c r="N20" s="39" t="s">
        <v>232</v>
      </c>
      <c r="O20" s="40" t="s">
        <v>233</v>
      </c>
      <c r="P20" s="40"/>
      <c r="Q20" s="39" t="s">
        <v>234</v>
      </c>
      <c r="R20" s="43"/>
      <c r="S20" s="44" t="s">
        <v>235</v>
      </c>
      <c r="T20" s="45">
        <v>46546.0</v>
      </c>
      <c r="U20" s="41" t="s">
        <v>236</v>
      </c>
      <c r="V20" s="53">
        <v>9.85805523E8</v>
      </c>
      <c r="W20" s="60" t="s">
        <v>237</v>
      </c>
      <c r="X20" s="41" t="s">
        <v>238</v>
      </c>
      <c r="Y20" s="55" t="s">
        <v>239</v>
      </c>
      <c r="Z20" s="49">
        <v>46265.0</v>
      </c>
      <c r="AA20" s="39"/>
      <c r="AB20" s="38"/>
      <c r="AC20" s="38"/>
    </row>
    <row r="21" ht="14.25" customHeight="1">
      <c r="A21" s="39" t="s">
        <v>71</v>
      </c>
      <c r="B21" s="39" t="s">
        <v>209</v>
      </c>
      <c r="C21" s="39" t="s">
        <v>73</v>
      </c>
      <c r="D21" s="40" t="s">
        <v>91</v>
      </c>
      <c r="E21" s="39" t="s">
        <v>240</v>
      </c>
      <c r="F21" s="39" t="s">
        <v>76</v>
      </c>
      <c r="G21" s="39" t="s">
        <v>77</v>
      </c>
      <c r="H21" s="41" t="s">
        <v>71</v>
      </c>
      <c r="I21" s="41" t="s">
        <v>73</v>
      </c>
      <c r="J21" s="42" t="s">
        <v>192</v>
      </c>
      <c r="K21" s="41" t="s">
        <v>79</v>
      </c>
      <c r="L21" s="39" t="s">
        <v>212</v>
      </c>
      <c r="M21" s="39" t="s">
        <v>241</v>
      </c>
      <c r="N21" s="39" t="s">
        <v>242</v>
      </c>
      <c r="O21" s="40" t="s">
        <v>243</v>
      </c>
      <c r="P21" s="40"/>
      <c r="Q21" s="39" t="s">
        <v>244</v>
      </c>
      <c r="R21" s="43"/>
      <c r="S21" s="44" t="s">
        <v>99</v>
      </c>
      <c r="T21" s="45">
        <v>47650.0</v>
      </c>
      <c r="U21" s="41" t="s">
        <v>245</v>
      </c>
      <c r="V21" s="53">
        <v>9.81570042E8</v>
      </c>
      <c r="W21" s="60" t="s">
        <v>246</v>
      </c>
      <c r="X21" s="41" t="s">
        <v>247</v>
      </c>
      <c r="Y21" s="55" t="s">
        <v>248</v>
      </c>
      <c r="Z21" s="49">
        <v>46265.0</v>
      </c>
      <c r="AA21" s="39"/>
      <c r="AB21" s="38"/>
      <c r="AC21" s="38"/>
    </row>
    <row r="22" ht="14.25" customHeight="1">
      <c r="A22" s="39" t="s">
        <v>71</v>
      </c>
      <c r="B22" s="39" t="s">
        <v>249</v>
      </c>
      <c r="C22" s="39" t="s">
        <v>73</v>
      </c>
      <c r="D22" s="40" t="s">
        <v>217</v>
      </c>
      <c r="E22" s="39" t="s">
        <v>250</v>
      </c>
      <c r="F22" s="39" t="s">
        <v>76</v>
      </c>
      <c r="G22" s="39" t="s">
        <v>93</v>
      </c>
      <c r="H22" s="41" t="s">
        <v>71</v>
      </c>
      <c r="I22" s="41" t="s">
        <v>73</v>
      </c>
      <c r="J22" s="50" t="s">
        <v>78</v>
      </c>
      <c r="K22" s="41" t="s">
        <v>79</v>
      </c>
      <c r="L22" s="39" t="s">
        <v>251</v>
      </c>
      <c r="M22" s="39" t="s">
        <v>252</v>
      </c>
      <c r="N22" s="39" t="s">
        <v>253</v>
      </c>
      <c r="O22" s="40" t="s">
        <v>254</v>
      </c>
      <c r="P22" s="40"/>
      <c r="Q22" s="39"/>
      <c r="R22" s="43"/>
      <c r="S22" s="44" t="s">
        <v>223</v>
      </c>
      <c r="T22" s="45">
        <v>47287.0</v>
      </c>
      <c r="U22" s="41" t="s">
        <v>255</v>
      </c>
      <c r="V22" s="53">
        <v>9.82799894E8</v>
      </c>
      <c r="W22" s="54" t="s">
        <v>256</v>
      </c>
      <c r="X22" s="39"/>
      <c r="Y22" s="48"/>
      <c r="Z22" s="49">
        <v>46265.0</v>
      </c>
      <c r="AA22" s="39"/>
      <c r="AB22" s="38"/>
      <c r="AC22" s="38"/>
    </row>
    <row r="23" ht="14.25" customHeight="1">
      <c r="A23" s="39" t="s">
        <v>257</v>
      </c>
      <c r="B23" s="39" t="s">
        <v>258</v>
      </c>
      <c r="C23" s="39" t="s">
        <v>126</v>
      </c>
      <c r="D23" s="40" t="s">
        <v>259</v>
      </c>
      <c r="E23" s="39" t="s">
        <v>260</v>
      </c>
      <c r="F23" s="39" t="s">
        <v>76</v>
      </c>
      <c r="G23" s="39" t="s">
        <v>202</v>
      </c>
      <c r="H23" s="41" t="s">
        <v>71</v>
      </c>
      <c r="I23" s="39" t="s">
        <v>203</v>
      </c>
      <c r="J23" s="39" t="s">
        <v>129</v>
      </c>
      <c r="K23" s="39" t="s">
        <v>79</v>
      </c>
      <c r="L23" s="39" t="s">
        <v>261</v>
      </c>
      <c r="M23" s="39" t="s">
        <v>262</v>
      </c>
      <c r="N23" s="39"/>
      <c r="O23" s="40" t="s">
        <v>263</v>
      </c>
      <c r="P23" s="40" t="s">
        <v>264</v>
      </c>
      <c r="Q23" s="39"/>
      <c r="R23" s="43" t="s">
        <v>133</v>
      </c>
      <c r="S23" s="51" t="s">
        <v>265</v>
      </c>
      <c r="T23" s="52">
        <v>46003.0</v>
      </c>
      <c r="U23" s="39"/>
      <c r="V23" s="48"/>
      <c r="W23" s="57"/>
      <c r="X23" s="39"/>
      <c r="Y23" s="48"/>
      <c r="Z23" s="49">
        <v>46265.0</v>
      </c>
      <c r="AA23" s="39"/>
      <c r="AB23" s="38"/>
      <c r="AC23" s="38"/>
    </row>
    <row r="24" ht="14.25" customHeight="1">
      <c r="A24" s="39" t="s">
        <v>257</v>
      </c>
      <c r="B24" s="39" t="s">
        <v>258</v>
      </c>
      <c r="C24" s="39" t="s">
        <v>73</v>
      </c>
      <c r="D24" s="40" t="s">
        <v>266</v>
      </c>
      <c r="E24" s="39" t="s">
        <v>267</v>
      </c>
      <c r="F24" s="39" t="s">
        <v>76</v>
      </c>
      <c r="G24" s="39" t="s">
        <v>77</v>
      </c>
      <c r="H24" s="41" t="s">
        <v>257</v>
      </c>
      <c r="I24" s="41" t="s">
        <v>73</v>
      </c>
      <c r="J24" s="50" t="s">
        <v>105</v>
      </c>
      <c r="K24" s="41" t="s">
        <v>79</v>
      </c>
      <c r="L24" s="39" t="s">
        <v>268</v>
      </c>
      <c r="M24" s="39" t="s">
        <v>269</v>
      </c>
      <c r="N24" s="39" t="s">
        <v>270</v>
      </c>
      <c r="O24" s="40" t="s">
        <v>271</v>
      </c>
      <c r="P24" s="40"/>
      <c r="Q24" s="39" t="s">
        <v>272</v>
      </c>
      <c r="R24" s="43" t="s">
        <v>273</v>
      </c>
      <c r="S24" s="51" t="s">
        <v>274</v>
      </c>
      <c r="T24" s="52">
        <v>45242.0</v>
      </c>
      <c r="U24" s="41" t="s">
        <v>275</v>
      </c>
      <c r="V24" s="53">
        <v>9.84297904E8</v>
      </c>
      <c r="W24" s="60" t="s">
        <v>276</v>
      </c>
      <c r="X24" s="41" t="s">
        <v>277</v>
      </c>
      <c r="Y24" s="55" t="s">
        <v>278</v>
      </c>
      <c r="Z24" s="49">
        <v>46265.0</v>
      </c>
      <c r="AA24" s="39"/>
      <c r="AB24" s="38"/>
      <c r="AC24" s="38"/>
    </row>
    <row r="25" ht="14.25" customHeight="1">
      <c r="A25" s="39" t="s">
        <v>257</v>
      </c>
      <c r="B25" s="39" t="s">
        <v>258</v>
      </c>
      <c r="C25" s="39" t="s">
        <v>73</v>
      </c>
      <c r="D25" s="40" t="s">
        <v>279</v>
      </c>
      <c r="E25" s="39" t="s">
        <v>280</v>
      </c>
      <c r="F25" s="39" t="s">
        <v>76</v>
      </c>
      <c r="G25" s="39" t="s">
        <v>77</v>
      </c>
      <c r="H25" s="41" t="s">
        <v>257</v>
      </c>
      <c r="I25" s="41" t="s">
        <v>73</v>
      </c>
      <c r="J25" s="42" t="s">
        <v>105</v>
      </c>
      <c r="K25" s="41" t="s">
        <v>79</v>
      </c>
      <c r="L25" s="39" t="s">
        <v>281</v>
      </c>
      <c r="M25" s="39" t="s">
        <v>269</v>
      </c>
      <c r="N25" s="39" t="s">
        <v>282</v>
      </c>
      <c r="O25" s="40" t="s">
        <v>283</v>
      </c>
      <c r="P25" s="40"/>
      <c r="Q25" s="39" t="s">
        <v>284</v>
      </c>
      <c r="R25" s="43"/>
      <c r="S25" s="44" t="s">
        <v>285</v>
      </c>
      <c r="T25" s="45">
        <v>47277.0</v>
      </c>
      <c r="U25" s="41" t="s">
        <v>286</v>
      </c>
      <c r="V25" s="53">
        <v>9.81726775E8</v>
      </c>
      <c r="W25" s="54" t="s">
        <v>287</v>
      </c>
      <c r="X25" s="41" t="s">
        <v>288</v>
      </c>
      <c r="Y25" s="55" t="s">
        <v>289</v>
      </c>
      <c r="Z25" s="49">
        <v>46265.0</v>
      </c>
      <c r="AA25" s="39"/>
      <c r="AB25" s="38"/>
      <c r="AC25" s="38"/>
    </row>
    <row r="26" ht="14.25" customHeight="1">
      <c r="A26" s="39" t="s">
        <v>257</v>
      </c>
      <c r="B26" s="39" t="s">
        <v>258</v>
      </c>
      <c r="C26" s="39" t="s">
        <v>73</v>
      </c>
      <c r="D26" s="40" t="s">
        <v>290</v>
      </c>
      <c r="E26" s="39" t="s">
        <v>291</v>
      </c>
      <c r="F26" s="39" t="s">
        <v>76</v>
      </c>
      <c r="G26" s="39" t="s">
        <v>77</v>
      </c>
      <c r="H26" s="41" t="s">
        <v>257</v>
      </c>
      <c r="I26" s="41" t="s">
        <v>73</v>
      </c>
      <c r="J26" s="50" t="s">
        <v>105</v>
      </c>
      <c r="K26" s="41" t="s">
        <v>79</v>
      </c>
      <c r="L26" s="39" t="s">
        <v>292</v>
      </c>
      <c r="M26" s="39" t="s">
        <v>293</v>
      </c>
      <c r="N26" s="39" t="s">
        <v>294</v>
      </c>
      <c r="O26" s="40" t="s">
        <v>295</v>
      </c>
      <c r="P26" s="40"/>
      <c r="Q26" s="39" t="s">
        <v>296</v>
      </c>
      <c r="R26" s="43" t="s">
        <v>297</v>
      </c>
      <c r="S26" s="62" t="s">
        <v>298</v>
      </c>
      <c r="T26" s="63">
        <v>47043.0</v>
      </c>
      <c r="U26" s="41" t="s">
        <v>299</v>
      </c>
      <c r="V26" s="53">
        <v>9.85470707E8</v>
      </c>
      <c r="W26" s="54" t="s">
        <v>300</v>
      </c>
      <c r="X26" s="39"/>
      <c r="Y26" s="48"/>
      <c r="Z26" s="49">
        <v>46265.0</v>
      </c>
      <c r="AA26" s="39"/>
      <c r="AB26" s="38"/>
      <c r="AC26" s="38"/>
    </row>
    <row r="27" ht="14.25" customHeight="1">
      <c r="A27" s="39" t="s">
        <v>257</v>
      </c>
      <c r="B27" s="39" t="s">
        <v>258</v>
      </c>
      <c r="C27" s="39" t="s">
        <v>73</v>
      </c>
      <c r="D27" s="40" t="s">
        <v>301</v>
      </c>
      <c r="E27" s="39" t="s">
        <v>302</v>
      </c>
      <c r="F27" s="39" t="s">
        <v>76</v>
      </c>
      <c r="G27" s="39" t="s">
        <v>77</v>
      </c>
      <c r="H27" s="41" t="s">
        <v>257</v>
      </c>
      <c r="I27" s="41" t="s">
        <v>73</v>
      </c>
      <c r="J27" s="42" t="s">
        <v>105</v>
      </c>
      <c r="K27" s="41" t="s">
        <v>79</v>
      </c>
      <c r="L27" s="39" t="s">
        <v>303</v>
      </c>
      <c r="M27" s="39" t="s">
        <v>304</v>
      </c>
      <c r="N27" s="39" t="s">
        <v>305</v>
      </c>
      <c r="O27" s="40" t="s">
        <v>306</v>
      </c>
      <c r="P27" s="40"/>
      <c r="Q27" s="39" t="s">
        <v>307</v>
      </c>
      <c r="R27" s="43" t="s">
        <v>308</v>
      </c>
      <c r="S27" s="44" t="s">
        <v>309</v>
      </c>
      <c r="T27" s="45">
        <v>47650.0</v>
      </c>
      <c r="U27" s="41" t="s">
        <v>310</v>
      </c>
      <c r="V27" s="53">
        <v>9.82942476E8</v>
      </c>
      <c r="W27" s="60" t="s">
        <v>311</v>
      </c>
      <c r="X27" s="39"/>
      <c r="Y27" s="48"/>
      <c r="Z27" s="49">
        <v>46265.0</v>
      </c>
      <c r="AA27" s="39"/>
      <c r="AB27" s="38"/>
      <c r="AC27" s="38"/>
    </row>
    <row r="28" ht="14.25" customHeight="1">
      <c r="A28" s="39" t="s">
        <v>257</v>
      </c>
      <c r="B28" s="39" t="s">
        <v>258</v>
      </c>
      <c r="C28" s="39" t="s">
        <v>126</v>
      </c>
      <c r="D28" s="40" t="s">
        <v>312</v>
      </c>
      <c r="E28" s="39" t="s">
        <v>313</v>
      </c>
      <c r="F28" s="39" t="s">
        <v>76</v>
      </c>
      <c r="G28" s="39" t="s">
        <v>202</v>
      </c>
      <c r="H28" s="41" t="s">
        <v>257</v>
      </c>
      <c r="I28" s="39" t="s">
        <v>203</v>
      </c>
      <c r="J28" s="39" t="s">
        <v>129</v>
      </c>
      <c r="K28" s="39" t="s">
        <v>79</v>
      </c>
      <c r="L28" s="39" t="s">
        <v>146</v>
      </c>
      <c r="M28" s="39" t="s">
        <v>314</v>
      </c>
      <c r="N28" s="39"/>
      <c r="O28" s="40" t="s">
        <v>315</v>
      </c>
      <c r="P28" s="40" t="s">
        <v>316</v>
      </c>
      <c r="Q28" s="39"/>
      <c r="R28" s="43" t="s">
        <v>133</v>
      </c>
      <c r="S28" s="44" t="s">
        <v>317</v>
      </c>
      <c r="T28" s="45">
        <v>46512.0</v>
      </c>
      <c r="U28" s="39"/>
      <c r="V28" s="48"/>
      <c r="W28" s="57"/>
      <c r="X28" s="39"/>
      <c r="Y28" s="48"/>
      <c r="Z28" s="49">
        <v>46265.0</v>
      </c>
      <c r="AA28" s="39"/>
      <c r="AB28" s="38"/>
      <c r="AC28" s="38"/>
    </row>
    <row r="29" ht="14.25" customHeight="1">
      <c r="A29" s="39" t="s">
        <v>257</v>
      </c>
      <c r="B29" s="39" t="s">
        <v>318</v>
      </c>
      <c r="C29" s="39" t="s">
        <v>126</v>
      </c>
      <c r="D29" s="40" t="s">
        <v>319</v>
      </c>
      <c r="E29" s="39" t="s">
        <v>320</v>
      </c>
      <c r="F29" s="39" t="s">
        <v>76</v>
      </c>
      <c r="G29" s="39" t="s">
        <v>202</v>
      </c>
      <c r="H29" s="41" t="s">
        <v>257</v>
      </c>
      <c r="I29" s="39" t="s">
        <v>203</v>
      </c>
      <c r="J29" s="39" t="s">
        <v>129</v>
      </c>
      <c r="K29" s="39" t="s">
        <v>79</v>
      </c>
      <c r="L29" s="39" t="s">
        <v>321</v>
      </c>
      <c r="M29" s="39" t="s">
        <v>322</v>
      </c>
      <c r="N29" s="39"/>
      <c r="O29" s="40" t="s">
        <v>323</v>
      </c>
      <c r="P29" s="40" t="s">
        <v>324</v>
      </c>
      <c r="Q29" s="39"/>
      <c r="R29" s="43" t="s">
        <v>133</v>
      </c>
      <c r="S29" s="51" t="s">
        <v>325</v>
      </c>
      <c r="T29" s="52">
        <v>45982.0</v>
      </c>
      <c r="U29" s="39"/>
      <c r="V29" s="48"/>
      <c r="W29" s="57"/>
      <c r="X29" s="39"/>
      <c r="Y29" s="48"/>
      <c r="Z29" s="49">
        <v>46265.0</v>
      </c>
      <c r="AA29" s="39"/>
      <c r="AB29" s="38"/>
      <c r="AC29" s="38"/>
    </row>
    <row r="30" ht="14.25" customHeight="1">
      <c r="A30" s="39" t="s">
        <v>257</v>
      </c>
      <c r="B30" s="39" t="s">
        <v>318</v>
      </c>
      <c r="C30" s="39" t="s">
        <v>126</v>
      </c>
      <c r="D30" s="40" t="s">
        <v>326</v>
      </c>
      <c r="E30" s="39" t="s">
        <v>327</v>
      </c>
      <c r="F30" s="39" t="s">
        <v>76</v>
      </c>
      <c r="G30" s="39" t="s">
        <v>202</v>
      </c>
      <c r="H30" s="41" t="s">
        <v>257</v>
      </c>
      <c r="I30" s="41" t="s">
        <v>203</v>
      </c>
      <c r="J30" s="39" t="s">
        <v>129</v>
      </c>
      <c r="K30" s="39" t="s">
        <v>79</v>
      </c>
      <c r="L30" s="39" t="s">
        <v>328</v>
      </c>
      <c r="M30" s="39" t="s">
        <v>329</v>
      </c>
      <c r="N30" s="39"/>
      <c r="O30" s="40" t="s">
        <v>330</v>
      </c>
      <c r="P30" s="40"/>
      <c r="Q30" s="39"/>
      <c r="R30" s="43" t="s">
        <v>133</v>
      </c>
      <c r="S30" s="44" t="s">
        <v>86</v>
      </c>
      <c r="T30" s="48"/>
      <c r="U30" s="39"/>
      <c r="V30" s="48"/>
      <c r="W30" s="57"/>
      <c r="X30" s="39"/>
      <c r="Y30" s="48"/>
      <c r="Z30" s="49">
        <v>46265.0</v>
      </c>
      <c r="AA30" s="39"/>
      <c r="AB30" s="38"/>
      <c r="AC30" s="38"/>
    </row>
    <row r="31" ht="14.25" customHeight="1">
      <c r="A31" s="39" t="s">
        <v>257</v>
      </c>
      <c r="B31" s="39" t="s">
        <v>318</v>
      </c>
      <c r="C31" s="39" t="s">
        <v>73</v>
      </c>
      <c r="D31" s="40" t="s">
        <v>331</v>
      </c>
      <c r="E31" s="39" t="s">
        <v>332</v>
      </c>
      <c r="F31" s="39" t="s">
        <v>76</v>
      </c>
      <c r="G31" s="39" t="s">
        <v>77</v>
      </c>
      <c r="H31" s="41" t="s">
        <v>257</v>
      </c>
      <c r="I31" s="41" t="s">
        <v>73</v>
      </c>
      <c r="J31" s="42" t="s">
        <v>105</v>
      </c>
      <c r="K31" s="41" t="s">
        <v>79</v>
      </c>
      <c r="L31" s="39" t="s">
        <v>333</v>
      </c>
      <c r="M31" s="39" t="s">
        <v>304</v>
      </c>
      <c r="N31" s="39" t="s">
        <v>334</v>
      </c>
      <c r="O31" s="40" t="s">
        <v>335</v>
      </c>
      <c r="P31" s="40"/>
      <c r="Q31" s="39" t="s">
        <v>336</v>
      </c>
      <c r="R31" s="43"/>
      <c r="S31" s="44" t="s">
        <v>337</v>
      </c>
      <c r="T31" s="61">
        <v>47413.0</v>
      </c>
      <c r="U31" s="41" t="s">
        <v>338</v>
      </c>
      <c r="V31" s="53">
        <v>9.91114184E8</v>
      </c>
      <c r="W31" s="60" t="s">
        <v>339</v>
      </c>
      <c r="X31" s="41" t="s">
        <v>340</v>
      </c>
      <c r="Y31" s="55" t="s">
        <v>341</v>
      </c>
      <c r="Z31" s="49">
        <v>46265.0</v>
      </c>
      <c r="AA31" s="39"/>
      <c r="AB31" s="38"/>
      <c r="AC31" s="38"/>
    </row>
    <row r="32" ht="14.25" customHeight="1">
      <c r="A32" s="39" t="s">
        <v>257</v>
      </c>
      <c r="B32" s="39" t="s">
        <v>342</v>
      </c>
      <c r="C32" s="39" t="s">
        <v>73</v>
      </c>
      <c r="D32" s="40" t="s">
        <v>343</v>
      </c>
      <c r="E32" s="39" t="s">
        <v>344</v>
      </c>
      <c r="F32" s="39" t="s">
        <v>76</v>
      </c>
      <c r="G32" s="39" t="s">
        <v>77</v>
      </c>
      <c r="H32" s="41" t="s">
        <v>257</v>
      </c>
      <c r="I32" s="41" t="s">
        <v>73</v>
      </c>
      <c r="J32" s="50" t="s">
        <v>78</v>
      </c>
      <c r="K32" s="41" t="s">
        <v>79</v>
      </c>
      <c r="L32" s="39" t="s">
        <v>345</v>
      </c>
      <c r="M32" s="39" t="s">
        <v>346</v>
      </c>
      <c r="N32" s="39" t="s">
        <v>347</v>
      </c>
      <c r="O32" s="40" t="s">
        <v>348</v>
      </c>
      <c r="P32" s="40"/>
      <c r="Q32" s="39" t="s">
        <v>349</v>
      </c>
      <c r="R32" s="43" t="s">
        <v>350</v>
      </c>
      <c r="S32" s="44" t="s">
        <v>151</v>
      </c>
      <c r="T32" s="45">
        <v>46273.0</v>
      </c>
      <c r="U32" s="41" t="s">
        <v>351</v>
      </c>
      <c r="V32" s="53">
        <v>9.88079826E8</v>
      </c>
      <c r="W32" s="60" t="s">
        <v>352</v>
      </c>
      <c r="X32" s="41" t="s">
        <v>353</v>
      </c>
      <c r="Y32" s="55" t="s">
        <v>354</v>
      </c>
      <c r="Z32" s="49">
        <v>46265.0</v>
      </c>
      <c r="AA32" s="39"/>
      <c r="AB32" s="38"/>
      <c r="AC32" s="38"/>
    </row>
    <row r="33" ht="14.25" customHeight="1">
      <c r="A33" s="39" t="s">
        <v>257</v>
      </c>
      <c r="B33" s="39" t="s">
        <v>342</v>
      </c>
      <c r="C33" s="39" t="s">
        <v>73</v>
      </c>
      <c r="D33" s="40" t="s">
        <v>355</v>
      </c>
      <c r="E33" s="39" t="s">
        <v>356</v>
      </c>
      <c r="F33" s="39" t="s">
        <v>76</v>
      </c>
      <c r="G33" s="39" t="s">
        <v>77</v>
      </c>
      <c r="H33" s="41" t="s">
        <v>257</v>
      </c>
      <c r="I33" s="41" t="s">
        <v>73</v>
      </c>
      <c r="J33" s="42" t="s">
        <v>78</v>
      </c>
      <c r="K33" s="41" t="s">
        <v>79</v>
      </c>
      <c r="L33" s="39" t="s">
        <v>357</v>
      </c>
      <c r="M33" s="39" t="s">
        <v>358</v>
      </c>
      <c r="N33" s="39"/>
      <c r="O33" s="40" t="s">
        <v>359</v>
      </c>
      <c r="P33" s="40"/>
      <c r="Q33" s="39" t="s">
        <v>360</v>
      </c>
      <c r="R33" s="43" t="s">
        <v>361</v>
      </c>
      <c r="S33" s="44" t="s">
        <v>151</v>
      </c>
      <c r="T33" s="45">
        <v>46273.0</v>
      </c>
      <c r="U33" s="41" t="s">
        <v>362</v>
      </c>
      <c r="V33" s="53">
        <v>9.841158E8</v>
      </c>
      <c r="W33" s="60" t="s">
        <v>363</v>
      </c>
      <c r="X33" s="41" t="s">
        <v>364</v>
      </c>
      <c r="Y33" s="55" t="s">
        <v>365</v>
      </c>
      <c r="Z33" s="49">
        <v>46265.0</v>
      </c>
      <c r="AA33" s="39"/>
      <c r="AB33" s="38"/>
      <c r="AC33" s="38"/>
    </row>
    <row r="34" ht="14.25" customHeight="1">
      <c r="A34" s="39" t="s">
        <v>257</v>
      </c>
      <c r="B34" s="39" t="s">
        <v>342</v>
      </c>
      <c r="C34" s="39" t="s">
        <v>73</v>
      </c>
      <c r="D34" s="40" t="s">
        <v>366</v>
      </c>
      <c r="E34" s="39" t="s">
        <v>367</v>
      </c>
      <c r="F34" s="39" t="s">
        <v>76</v>
      </c>
      <c r="G34" s="39" t="s">
        <v>77</v>
      </c>
      <c r="H34" s="41" t="s">
        <v>257</v>
      </c>
      <c r="I34" s="41" t="s">
        <v>73</v>
      </c>
      <c r="J34" s="50" t="s">
        <v>78</v>
      </c>
      <c r="K34" s="41" t="s">
        <v>79</v>
      </c>
      <c r="L34" s="39" t="s">
        <v>368</v>
      </c>
      <c r="M34" s="39" t="s">
        <v>369</v>
      </c>
      <c r="N34" s="39"/>
      <c r="O34" s="40" t="s">
        <v>370</v>
      </c>
      <c r="P34" s="40"/>
      <c r="Q34" s="39" t="s">
        <v>371</v>
      </c>
      <c r="R34" s="43" t="s">
        <v>372</v>
      </c>
      <c r="S34" s="44" t="s">
        <v>151</v>
      </c>
      <c r="T34" s="45">
        <v>46273.0</v>
      </c>
      <c r="U34" s="41" t="s">
        <v>373</v>
      </c>
      <c r="V34" s="53">
        <v>9.86505858E8</v>
      </c>
      <c r="W34" s="60" t="s">
        <v>374</v>
      </c>
      <c r="X34" s="41" t="s">
        <v>375</v>
      </c>
      <c r="Y34" s="55" t="s">
        <v>376</v>
      </c>
      <c r="Z34" s="49">
        <v>46265.0</v>
      </c>
      <c r="AA34" s="39"/>
      <c r="AB34" s="38"/>
      <c r="AC34" s="38"/>
    </row>
    <row r="35" ht="14.25" customHeight="1">
      <c r="A35" s="39" t="s">
        <v>257</v>
      </c>
      <c r="B35" s="39" t="s">
        <v>342</v>
      </c>
      <c r="C35" s="39" t="s">
        <v>73</v>
      </c>
      <c r="D35" s="40" t="s">
        <v>377</v>
      </c>
      <c r="E35" s="39" t="s">
        <v>378</v>
      </c>
      <c r="F35" s="39" t="s">
        <v>76</v>
      </c>
      <c r="G35" s="39" t="s">
        <v>77</v>
      </c>
      <c r="H35" s="41" t="s">
        <v>257</v>
      </c>
      <c r="I35" s="41" t="s">
        <v>73</v>
      </c>
      <c r="J35" s="42" t="s">
        <v>105</v>
      </c>
      <c r="K35" s="41" t="s">
        <v>79</v>
      </c>
      <c r="L35" s="39" t="s">
        <v>379</v>
      </c>
      <c r="M35" s="39" t="s">
        <v>304</v>
      </c>
      <c r="N35" s="39" t="s">
        <v>380</v>
      </c>
      <c r="O35" s="40" t="s">
        <v>381</v>
      </c>
      <c r="P35" s="40"/>
      <c r="Q35" s="39" t="s">
        <v>382</v>
      </c>
      <c r="R35" s="43" t="s">
        <v>383</v>
      </c>
      <c r="S35" s="44" t="s">
        <v>151</v>
      </c>
      <c r="T35" s="45">
        <v>46273.0</v>
      </c>
      <c r="U35" s="41" t="s">
        <v>384</v>
      </c>
      <c r="V35" s="53">
        <v>9.82094242E8</v>
      </c>
      <c r="W35" s="60" t="s">
        <v>385</v>
      </c>
      <c r="X35" s="41" t="s">
        <v>386</v>
      </c>
      <c r="Y35" s="55" t="s">
        <v>387</v>
      </c>
      <c r="Z35" s="49">
        <v>46265.0</v>
      </c>
      <c r="AA35" s="39"/>
      <c r="AB35" s="38"/>
      <c r="AC35" s="38"/>
    </row>
    <row r="36" ht="14.25" customHeight="1">
      <c r="A36" s="39" t="s">
        <v>257</v>
      </c>
      <c r="B36" s="39" t="s">
        <v>342</v>
      </c>
      <c r="C36" s="39" t="s">
        <v>73</v>
      </c>
      <c r="D36" s="40" t="s">
        <v>388</v>
      </c>
      <c r="E36" s="39" t="s">
        <v>389</v>
      </c>
      <c r="F36" s="39" t="s">
        <v>76</v>
      </c>
      <c r="G36" s="39" t="s">
        <v>77</v>
      </c>
      <c r="H36" s="41" t="s">
        <v>257</v>
      </c>
      <c r="I36" s="41" t="s">
        <v>73</v>
      </c>
      <c r="J36" s="50" t="s">
        <v>105</v>
      </c>
      <c r="K36" s="41" t="s">
        <v>79</v>
      </c>
      <c r="L36" s="39" t="s">
        <v>390</v>
      </c>
      <c r="M36" s="39"/>
      <c r="N36" s="39" t="s">
        <v>391</v>
      </c>
      <c r="O36" s="40" t="s">
        <v>392</v>
      </c>
      <c r="P36" s="40"/>
      <c r="Q36" s="39" t="s">
        <v>393</v>
      </c>
      <c r="R36" s="43" t="s">
        <v>394</v>
      </c>
      <c r="S36" s="44" t="s">
        <v>395</v>
      </c>
      <c r="T36" s="61">
        <v>47413.0</v>
      </c>
      <c r="U36" s="41" t="s">
        <v>396</v>
      </c>
      <c r="V36" s="53">
        <v>9.85382828E8</v>
      </c>
      <c r="W36" s="54" t="s">
        <v>397</v>
      </c>
      <c r="X36" s="41" t="s">
        <v>398</v>
      </c>
      <c r="Y36" s="55" t="s">
        <v>399</v>
      </c>
      <c r="Z36" s="49">
        <v>46265.0</v>
      </c>
      <c r="AA36" s="39"/>
      <c r="AB36" s="38"/>
      <c r="AC36" s="38"/>
    </row>
    <row r="37" ht="14.25" customHeight="1">
      <c r="A37" s="39" t="s">
        <v>257</v>
      </c>
      <c r="B37" s="39" t="s">
        <v>342</v>
      </c>
      <c r="C37" s="39" t="s">
        <v>73</v>
      </c>
      <c r="D37" s="40" t="s">
        <v>400</v>
      </c>
      <c r="E37" s="39" t="s">
        <v>401</v>
      </c>
      <c r="F37" s="39" t="s">
        <v>76</v>
      </c>
      <c r="G37" s="39" t="s">
        <v>77</v>
      </c>
      <c r="H37" s="41" t="s">
        <v>257</v>
      </c>
      <c r="I37" s="41" t="s">
        <v>73</v>
      </c>
      <c r="J37" s="42" t="s">
        <v>78</v>
      </c>
      <c r="K37" s="41" t="s">
        <v>79</v>
      </c>
      <c r="L37" s="39" t="s">
        <v>402</v>
      </c>
      <c r="M37" s="39" t="s">
        <v>403</v>
      </c>
      <c r="N37" s="39" t="s">
        <v>404</v>
      </c>
      <c r="O37" s="40" t="s">
        <v>405</v>
      </c>
      <c r="P37" s="40"/>
      <c r="Q37" s="39" t="s">
        <v>406</v>
      </c>
      <c r="R37" s="43" t="s">
        <v>407</v>
      </c>
      <c r="S37" s="44" t="s">
        <v>408</v>
      </c>
      <c r="T37" s="45">
        <v>47650.0</v>
      </c>
      <c r="U37" s="41" t="s">
        <v>409</v>
      </c>
      <c r="V37" s="53">
        <v>9.82444884E8</v>
      </c>
      <c r="W37" s="60" t="s">
        <v>410</v>
      </c>
      <c r="X37" s="41"/>
      <c r="Y37" s="55"/>
      <c r="Z37" s="49">
        <v>46265.0</v>
      </c>
      <c r="AA37" s="39"/>
      <c r="AB37" s="38"/>
      <c r="AC37" s="38"/>
    </row>
    <row r="38" ht="14.25" customHeight="1">
      <c r="A38" s="39" t="s">
        <v>257</v>
      </c>
      <c r="B38" s="39" t="s">
        <v>342</v>
      </c>
      <c r="C38" s="39" t="s">
        <v>73</v>
      </c>
      <c r="D38" s="40" t="s">
        <v>411</v>
      </c>
      <c r="E38" s="39" t="s">
        <v>412</v>
      </c>
      <c r="F38" s="39" t="s">
        <v>76</v>
      </c>
      <c r="G38" s="39" t="s">
        <v>77</v>
      </c>
      <c r="H38" s="41" t="s">
        <v>257</v>
      </c>
      <c r="I38" s="41" t="s">
        <v>73</v>
      </c>
      <c r="J38" s="50" t="s">
        <v>105</v>
      </c>
      <c r="K38" s="41" t="s">
        <v>79</v>
      </c>
      <c r="L38" s="39" t="s">
        <v>413</v>
      </c>
      <c r="M38" s="39" t="s">
        <v>269</v>
      </c>
      <c r="N38" s="39" t="s">
        <v>414</v>
      </c>
      <c r="O38" s="40" t="s">
        <v>415</v>
      </c>
      <c r="P38" s="40"/>
      <c r="Q38" s="39" t="s">
        <v>416</v>
      </c>
      <c r="R38" s="43"/>
      <c r="S38" s="44" t="s">
        <v>417</v>
      </c>
      <c r="T38" s="45">
        <v>46887.0</v>
      </c>
      <c r="U38" s="41" t="s">
        <v>418</v>
      </c>
      <c r="V38" s="53">
        <v>9.82284941E8</v>
      </c>
      <c r="W38" s="60" t="s">
        <v>419</v>
      </c>
      <c r="X38" s="41" t="s">
        <v>420</v>
      </c>
      <c r="Y38" s="55" t="s">
        <v>421</v>
      </c>
      <c r="Z38" s="49">
        <v>46265.0</v>
      </c>
      <c r="AA38" s="39"/>
      <c r="AB38" s="38"/>
      <c r="AC38" s="38"/>
    </row>
    <row r="39" ht="14.25" customHeight="1">
      <c r="A39" s="39" t="s">
        <v>257</v>
      </c>
      <c r="B39" s="39" t="s">
        <v>422</v>
      </c>
      <c r="C39" s="39" t="s">
        <v>126</v>
      </c>
      <c r="D39" s="40" t="s">
        <v>423</v>
      </c>
      <c r="E39" s="39" t="s">
        <v>424</v>
      </c>
      <c r="F39" s="39" t="s">
        <v>76</v>
      </c>
      <c r="G39" s="39" t="s">
        <v>202</v>
      </c>
      <c r="H39" s="41" t="s">
        <v>257</v>
      </c>
      <c r="I39" s="39" t="s">
        <v>203</v>
      </c>
      <c r="J39" s="39" t="s">
        <v>129</v>
      </c>
      <c r="K39" s="39" t="s">
        <v>79</v>
      </c>
      <c r="L39" s="39" t="s">
        <v>425</v>
      </c>
      <c r="M39" s="39" t="s">
        <v>426</v>
      </c>
      <c r="N39" s="39"/>
      <c r="O39" s="40" t="s">
        <v>427</v>
      </c>
      <c r="P39" s="40" t="s">
        <v>428</v>
      </c>
      <c r="Q39" s="39"/>
      <c r="R39" s="43" t="s">
        <v>133</v>
      </c>
      <c r="S39" s="51" t="s">
        <v>429</v>
      </c>
      <c r="T39" s="52">
        <v>45982.0</v>
      </c>
      <c r="U39" s="39"/>
      <c r="V39" s="48"/>
      <c r="W39" s="57"/>
      <c r="X39" s="39"/>
      <c r="Y39" s="48"/>
      <c r="Z39" s="49">
        <v>46265.0</v>
      </c>
      <c r="AA39" s="39"/>
      <c r="AB39" s="38"/>
      <c r="AC39" s="38"/>
    </row>
    <row r="40" ht="14.25" customHeight="1">
      <c r="A40" s="39" t="s">
        <v>257</v>
      </c>
      <c r="B40" s="39" t="s">
        <v>422</v>
      </c>
      <c r="C40" s="39" t="s">
        <v>73</v>
      </c>
      <c r="D40" s="40" t="s">
        <v>430</v>
      </c>
      <c r="E40" s="39" t="s">
        <v>431</v>
      </c>
      <c r="F40" s="39" t="s">
        <v>76</v>
      </c>
      <c r="G40" s="39" t="s">
        <v>77</v>
      </c>
      <c r="H40" s="41" t="s">
        <v>257</v>
      </c>
      <c r="I40" s="41" t="s">
        <v>73</v>
      </c>
      <c r="J40" s="50" t="s">
        <v>105</v>
      </c>
      <c r="K40" s="41" t="s">
        <v>79</v>
      </c>
      <c r="L40" s="39" t="s">
        <v>432</v>
      </c>
      <c r="M40" s="39" t="s">
        <v>269</v>
      </c>
      <c r="N40" s="39" t="s">
        <v>433</v>
      </c>
      <c r="O40" s="40" t="s">
        <v>434</v>
      </c>
      <c r="P40" s="40"/>
      <c r="Q40" s="39" t="s">
        <v>435</v>
      </c>
      <c r="R40" s="43" t="s">
        <v>436</v>
      </c>
      <c r="S40" s="44" t="s">
        <v>437</v>
      </c>
      <c r="T40" s="61">
        <v>47776.0</v>
      </c>
      <c r="U40" s="41" t="s">
        <v>438</v>
      </c>
      <c r="V40" s="53">
        <v>9.83003058E8</v>
      </c>
      <c r="W40" s="60" t="s">
        <v>439</v>
      </c>
      <c r="X40" s="39"/>
      <c r="Y40" s="48"/>
      <c r="Z40" s="49">
        <v>46265.0</v>
      </c>
      <c r="AA40" s="39"/>
      <c r="AB40" s="38"/>
      <c r="AC40" s="38"/>
    </row>
    <row r="41" ht="14.25" customHeight="1">
      <c r="A41" s="39" t="s">
        <v>257</v>
      </c>
      <c r="B41" s="39" t="s">
        <v>422</v>
      </c>
      <c r="C41" s="39" t="s">
        <v>73</v>
      </c>
      <c r="D41" s="40" t="s">
        <v>440</v>
      </c>
      <c r="E41" s="39" t="s">
        <v>441</v>
      </c>
      <c r="F41" s="39" t="s">
        <v>76</v>
      </c>
      <c r="G41" s="39" t="s">
        <v>77</v>
      </c>
      <c r="H41" s="41" t="s">
        <v>257</v>
      </c>
      <c r="I41" s="41" t="s">
        <v>73</v>
      </c>
      <c r="J41" s="42" t="s">
        <v>105</v>
      </c>
      <c r="K41" s="41" t="s">
        <v>79</v>
      </c>
      <c r="L41" s="39" t="s">
        <v>442</v>
      </c>
      <c r="M41" s="39" t="s">
        <v>269</v>
      </c>
      <c r="N41" s="39" t="s">
        <v>443</v>
      </c>
      <c r="O41" s="40" t="s">
        <v>444</v>
      </c>
      <c r="P41" s="40"/>
      <c r="Q41" s="39" t="s">
        <v>445</v>
      </c>
      <c r="R41" s="43" t="s">
        <v>446</v>
      </c>
      <c r="S41" s="44" t="s">
        <v>447</v>
      </c>
      <c r="T41" s="45">
        <v>48007.0</v>
      </c>
      <c r="U41" s="41" t="s">
        <v>448</v>
      </c>
      <c r="V41" s="53">
        <v>9.89940628E8</v>
      </c>
      <c r="W41" s="60" t="s">
        <v>449</v>
      </c>
      <c r="X41" s="39"/>
      <c r="Y41" s="48"/>
      <c r="Z41" s="49">
        <v>46265.0</v>
      </c>
      <c r="AA41" s="39"/>
      <c r="AB41" s="38"/>
      <c r="AC41" s="38"/>
    </row>
    <row r="42" ht="14.25" customHeight="1">
      <c r="A42" s="39" t="s">
        <v>257</v>
      </c>
      <c r="B42" s="39" t="s">
        <v>422</v>
      </c>
      <c r="C42" s="39" t="s">
        <v>73</v>
      </c>
      <c r="D42" s="40" t="s">
        <v>450</v>
      </c>
      <c r="E42" s="39" t="s">
        <v>451</v>
      </c>
      <c r="F42" s="39" t="s">
        <v>76</v>
      </c>
      <c r="G42" s="39" t="s">
        <v>77</v>
      </c>
      <c r="H42" s="41" t="s">
        <v>257</v>
      </c>
      <c r="I42" s="41" t="s">
        <v>73</v>
      </c>
      <c r="J42" s="50" t="s">
        <v>105</v>
      </c>
      <c r="K42" s="41" t="s">
        <v>79</v>
      </c>
      <c r="L42" s="39" t="s">
        <v>452</v>
      </c>
      <c r="M42" s="39" t="s">
        <v>269</v>
      </c>
      <c r="N42" s="39" t="s">
        <v>453</v>
      </c>
      <c r="O42" s="40" t="s">
        <v>454</v>
      </c>
      <c r="P42" s="40"/>
      <c r="Q42" s="39" t="s">
        <v>455</v>
      </c>
      <c r="R42" s="43" t="s">
        <v>456</v>
      </c>
      <c r="S42" s="44" t="s">
        <v>457</v>
      </c>
      <c r="T42" s="45">
        <v>47169.0</v>
      </c>
      <c r="U42" s="41" t="s">
        <v>458</v>
      </c>
      <c r="V42" s="53">
        <v>9.84184444E8</v>
      </c>
      <c r="W42" s="60" t="s">
        <v>459</v>
      </c>
      <c r="X42" s="39"/>
      <c r="Y42" s="64"/>
      <c r="Z42" s="49">
        <v>46265.0</v>
      </c>
      <c r="AA42" s="39"/>
      <c r="AB42" s="38"/>
      <c r="AC42" s="38"/>
    </row>
    <row r="43" ht="14.25" customHeight="1">
      <c r="A43" s="39" t="s">
        <v>257</v>
      </c>
      <c r="B43" s="39" t="s">
        <v>422</v>
      </c>
      <c r="C43" s="39" t="s">
        <v>73</v>
      </c>
      <c r="D43" s="40" t="s">
        <v>460</v>
      </c>
      <c r="E43" s="39" t="s">
        <v>461</v>
      </c>
      <c r="F43" s="39" t="s">
        <v>76</v>
      </c>
      <c r="G43" s="39" t="s">
        <v>77</v>
      </c>
      <c r="H43" s="41" t="s">
        <v>257</v>
      </c>
      <c r="I43" s="41" t="s">
        <v>73</v>
      </c>
      <c r="J43" s="42" t="s">
        <v>105</v>
      </c>
      <c r="K43" s="41" t="s">
        <v>79</v>
      </c>
      <c r="L43" s="39" t="s">
        <v>462</v>
      </c>
      <c r="M43" s="39" t="s">
        <v>269</v>
      </c>
      <c r="N43" s="39" t="s">
        <v>463</v>
      </c>
      <c r="O43" s="40" t="s">
        <v>464</v>
      </c>
      <c r="P43" s="40"/>
      <c r="Q43" s="39" t="s">
        <v>465</v>
      </c>
      <c r="R43" s="43"/>
      <c r="S43" s="44" t="s">
        <v>466</v>
      </c>
      <c r="T43" s="45">
        <v>47650.0</v>
      </c>
      <c r="U43" s="42" t="s">
        <v>467</v>
      </c>
      <c r="V43" s="56">
        <v>9.8016544E8</v>
      </c>
      <c r="W43" s="57"/>
      <c r="X43" s="41" t="s">
        <v>468</v>
      </c>
      <c r="Y43" s="65" t="s">
        <v>469</v>
      </c>
      <c r="Z43" s="49">
        <v>46265.0</v>
      </c>
      <c r="AA43" s="39"/>
      <c r="AB43" s="38"/>
      <c r="AC43" s="38"/>
    </row>
    <row r="44" ht="14.25" customHeight="1">
      <c r="A44" s="39" t="s">
        <v>257</v>
      </c>
      <c r="B44" s="39" t="s">
        <v>422</v>
      </c>
      <c r="C44" s="39" t="s">
        <v>126</v>
      </c>
      <c r="D44" s="40" t="s">
        <v>470</v>
      </c>
      <c r="E44" s="39" t="s">
        <v>471</v>
      </c>
      <c r="F44" s="39" t="s">
        <v>76</v>
      </c>
      <c r="G44" s="39" t="s">
        <v>202</v>
      </c>
      <c r="H44" s="41" t="s">
        <v>257</v>
      </c>
      <c r="I44" s="39" t="s">
        <v>203</v>
      </c>
      <c r="J44" s="39" t="s">
        <v>129</v>
      </c>
      <c r="K44" s="39" t="s">
        <v>79</v>
      </c>
      <c r="L44" s="39" t="s">
        <v>472</v>
      </c>
      <c r="M44" s="39" t="s">
        <v>473</v>
      </c>
      <c r="N44" s="39"/>
      <c r="O44" s="40" t="s">
        <v>474</v>
      </c>
      <c r="P44" s="40" t="s">
        <v>475</v>
      </c>
      <c r="Q44" s="39"/>
      <c r="R44" s="43" t="s">
        <v>133</v>
      </c>
      <c r="S44" s="51" t="s">
        <v>476</v>
      </c>
      <c r="T44" s="52">
        <v>46017.0</v>
      </c>
      <c r="U44" s="39"/>
      <c r="V44" s="48"/>
      <c r="W44" s="57"/>
      <c r="X44" s="39"/>
      <c r="Y44" s="35"/>
      <c r="Z44" s="49">
        <v>46265.0</v>
      </c>
      <c r="AA44" s="39"/>
      <c r="AB44" s="38"/>
      <c r="AC44" s="38"/>
    </row>
    <row r="45" ht="14.25" customHeight="1">
      <c r="A45" s="39" t="s">
        <v>257</v>
      </c>
      <c r="B45" s="39" t="s">
        <v>477</v>
      </c>
      <c r="C45" s="39" t="s">
        <v>73</v>
      </c>
      <c r="D45" s="40" t="s">
        <v>478</v>
      </c>
      <c r="E45" s="39" t="s">
        <v>479</v>
      </c>
      <c r="F45" s="39" t="s">
        <v>76</v>
      </c>
      <c r="G45" s="39" t="s">
        <v>93</v>
      </c>
      <c r="H45" s="41" t="s">
        <v>257</v>
      </c>
      <c r="I45" s="41" t="s">
        <v>73</v>
      </c>
      <c r="J45" s="42" t="s">
        <v>78</v>
      </c>
      <c r="K45" s="41" t="s">
        <v>79</v>
      </c>
      <c r="L45" s="39" t="s">
        <v>480</v>
      </c>
      <c r="M45" s="39" t="s">
        <v>481</v>
      </c>
      <c r="N45" s="39"/>
      <c r="O45" s="40" t="s">
        <v>482</v>
      </c>
      <c r="P45" s="40"/>
      <c r="Q45" s="39"/>
      <c r="R45" s="43"/>
      <c r="S45" s="51" t="s">
        <v>483</v>
      </c>
      <c r="T45" s="66">
        <v>43887.0</v>
      </c>
      <c r="U45" s="41" t="s">
        <v>484</v>
      </c>
      <c r="V45" s="53">
        <v>9.96028924E8</v>
      </c>
      <c r="W45" s="60" t="s">
        <v>485</v>
      </c>
      <c r="X45" s="39"/>
      <c r="Y45" s="48"/>
      <c r="Z45" s="49">
        <v>46265.0</v>
      </c>
      <c r="AA45" s="39"/>
      <c r="AB45" s="38"/>
      <c r="AC45" s="38"/>
    </row>
    <row r="46" ht="14.25" customHeight="1">
      <c r="A46" s="39" t="s">
        <v>257</v>
      </c>
      <c r="B46" s="39" t="s">
        <v>477</v>
      </c>
      <c r="C46" s="39" t="s">
        <v>73</v>
      </c>
      <c r="D46" s="40" t="s">
        <v>478</v>
      </c>
      <c r="E46" s="39" t="s">
        <v>486</v>
      </c>
      <c r="F46" s="39" t="s">
        <v>76</v>
      </c>
      <c r="G46" s="39" t="s">
        <v>77</v>
      </c>
      <c r="H46" s="41" t="s">
        <v>257</v>
      </c>
      <c r="I46" s="41" t="s">
        <v>73</v>
      </c>
      <c r="J46" s="67" t="s">
        <v>105</v>
      </c>
      <c r="K46" s="41" t="s">
        <v>79</v>
      </c>
      <c r="L46" s="39" t="s">
        <v>480</v>
      </c>
      <c r="M46" s="39" t="s">
        <v>293</v>
      </c>
      <c r="N46" s="39" t="s">
        <v>487</v>
      </c>
      <c r="O46" s="40" t="s">
        <v>482</v>
      </c>
      <c r="P46" s="40"/>
      <c r="Q46" s="39"/>
      <c r="R46" s="43"/>
      <c r="S46" s="51" t="s">
        <v>483</v>
      </c>
      <c r="T46" s="66">
        <v>43887.0</v>
      </c>
      <c r="U46" s="41" t="s">
        <v>488</v>
      </c>
      <c r="V46" s="53">
        <v>9.83744312E8</v>
      </c>
      <c r="W46" s="60" t="s">
        <v>489</v>
      </c>
      <c r="X46" s="41" t="s">
        <v>490</v>
      </c>
      <c r="Y46" s="55" t="s">
        <v>491</v>
      </c>
      <c r="Z46" s="49">
        <v>46265.0</v>
      </c>
      <c r="AA46" s="39"/>
      <c r="AB46" s="38"/>
      <c r="AC46" s="38"/>
    </row>
    <row r="47" ht="14.25" customHeight="1">
      <c r="A47" s="39" t="s">
        <v>257</v>
      </c>
      <c r="B47" s="39" t="s">
        <v>492</v>
      </c>
      <c r="C47" s="39" t="s">
        <v>73</v>
      </c>
      <c r="D47" s="40" t="s">
        <v>493</v>
      </c>
      <c r="E47" s="39" t="s">
        <v>494</v>
      </c>
      <c r="F47" s="39" t="s">
        <v>76</v>
      </c>
      <c r="G47" s="39" t="s">
        <v>77</v>
      </c>
      <c r="H47" s="41" t="s">
        <v>257</v>
      </c>
      <c r="I47" s="41" t="s">
        <v>73</v>
      </c>
      <c r="J47" s="42" t="s">
        <v>105</v>
      </c>
      <c r="K47" s="41" t="s">
        <v>79</v>
      </c>
      <c r="L47" s="39" t="s">
        <v>495</v>
      </c>
      <c r="M47" s="39" t="s">
        <v>269</v>
      </c>
      <c r="N47" s="39" t="s">
        <v>496</v>
      </c>
      <c r="O47" s="40" t="s">
        <v>497</v>
      </c>
      <c r="P47" s="40"/>
      <c r="Q47" s="39" t="s">
        <v>498</v>
      </c>
      <c r="R47" s="43"/>
      <c r="S47" s="44" t="s">
        <v>499</v>
      </c>
      <c r="T47" s="55" t="s">
        <v>500</v>
      </c>
      <c r="U47" s="41" t="s">
        <v>501</v>
      </c>
      <c r="V47" s="53">
        <v>9.82683204E8</v>
      </c>
      <c r="W47" s="60" t="s">
        <v>502</v>
      </c>
      <c r="X47" s="41" t="s">
        <v>503</v>
      </c>
      <c r="Y47" s="55" t="s">
        <v>504</v>
      </c>
      <c r="Z47" s="49">
        <v>46265.0</v>
      </c>
      <c r="AA47" s="39"/>
      <c r="AB47" s="38"/>
      <c r="AC47" s="38"/>
    </row>
    <row r="48" ht="14.25" customHeight="1">
      <c r="A48" s="39" t="s">
        <v>257</v>
      </c>
      <c r="B48" s="39" t="s">
        <v>492</v>
      </c>
      <c r="C48" s="39" t="s">
        <v>73</v>
      </c>
      <c r="D48" s="40" t="s">
        <v>505</v>
      </c>
      <c r="E48" s="39" t="s">
        <v>506</v>
      </c>
      <c r="F48" s="39" t="s">
        <v>76</v>
      </c>
      <c r="G48" s="39" t="s">
        <v>77</v>
      </c>
      <c r="H48" s="41" t="s">
        <v>257</v>
      </c>
      <c r="I48" s="41" t="s">
        <v>73</v>
      </c>
      <c r="J48" s="50" t="s">
        <v>105</v>
      </c>
      <c r="K48" s="41" t="s">
        <v>79</v>
      </c>
      <c r="L48" s="39" t="s">
        <v>507</v>
      </c>
      <c r="M48" s="39" t="s">
        <v>269</v>
      </c>
      <c r="N48" s="39" t="s">
        <v>508</v>
      </c>
      <c r="O48" s="40" t="s">
        <v>509</v>
      </c>
      <c r="P48" s="40"/>
      <c r="Q48" s="39" t="s">
        <v>510</v>
      </c>
      <c r="R48" s="43" t="s">
        <v>511</v>
      </c>
      <c r="S48" s="51" t="s">
        <v>512</v>
      </c>
      <c r="T48" s="52">
        <v>43779.0</v>
      </c>
      <c r="U48" s="68" t="s">
        <v>513</v>
      </c>
      <c r="V48" s="69">
        <v>9.85890468E8</v>
      </c>
      <c r="W48" s="57"/>
      <c r="X48" s="41" t="s">
        <v>514</v>
      </c>
      <c r="Y48" s="55" t="s">
        <v>515</v>
      </c>
      <c r="Z48" s="49">
        <v>46265.0</v>
      </c>
      <c r="AA48" s="39"/>
      <c r="AB48" s="38"/>
      <c r="AC48" s="38"/>
    </row>
    <row r="49" ht="14.25" customHeight="1">
      <c r="A49" s="39" t="s">
        <v>257</v>
      </c>
      <c r="B49" s="39" t="s">
        <v>492</v>
      </c>
      <c r="C49" s="39" t="s">
        <v>73</v>
      </c>
      <c r="D49" s="40" t="s">
        <v>516</v>
      </c>
      <c r="E49" s="39" t="s">
        <v>517</v>
      </c>
      <c r="F49" s="39" t="s">
        <v>76</v>
      </c>
      <c r="G49" s="39" t="s">
        <v>77</v>
      </c>
      <c r="H49" s="41" t="s">
        <v>257</v>
      </c>
      <c r="I49" s="41" t="s">
        <v>73</v>
      </c>
      <c r="J49" s="42" t="s">
        <v>105</v>
      </c>
      <c r="K49" s="41" t="s">
        <v>79</v>
      </c>
      <c r="L49" s="39" t="s">
        <v>518</v>
      </c>
      <c r="M49" s="39" t="s">
        <v>519</v>
      </c>
      <c r="N49" s="39" t="s">
        <v>520</v>
      </c>
      <c r="O49" s="40" t="s">
        <v>521</v>
      </c>
      <c r="P49" s="40"/>
      <c r="Q49" s="39" t="s">
        <v>522</v>
      </c>
      <c r="R49" s="43" t="s">
        <v>523</v>
      </c>
      <c r="S49" s="44" t="s">
        <v>524</v>
      </c>
      <c r="T49" s="45">
        <v>46650.0</v>
      </c>
      <c r="U49" s="41" t="s">
        <v>525</v>
      </c>
      <c r="V49" s="53">
        <v>9.82789467E8</v>
      </c>
      <c r="W49" s="60" t="s">
        <v>526</v>
      </c>
      <c r="X49" s="41" t="s">
        <v>527</v>
      </c>
      <c r="Y49" s="55" t="s">
        <v>528</v>
      </c>
      <c r="Z49" s="49">
        <v>46265.0</v>
      </c>
      <c r="AA49" s="39"/>
      <c r="AB49" s="38"/>
      <c r="AC49" s="38"/>
    </row>
    <row r="50" ht="14.25" customHeight="1">
      <c r="A50" s="39" t="s">
        <v>257</v>
      </c>
      <c r="B50" s="39" t="s">
        <v>492</v>
      </c>
      <c r="C50" s="39" t="s">
        <v>73</v>
      </c>
      <c r="D50" s="40" t="s">
        <v>529</v>
      </c>
      <c r="E50" s="39" t="s">
        <v>530</v>
      </c>
      <c r="F50" s="39" t="s">
        <v>76</v>
      </c>
      <c r="G50" s="39" t="s">
        <v>77</v>
      </c>
      <c r="H50" s="41" t="s">
        <v>257</v>
      </c>
      <c r="I50" s="41" t="s">
        <v>73</v>
      </c>
      <c r="J50" s="50" t="s">
        <v>78</v>
      </c>
      <c r="K50" s="41" t="s">
        <v>79</v>
      </c>
      <c r="L50" s="39" t="s">
        <v>531</v>
      </c>
      <c r="M50" s="39" t="s">
        <v>532</v>
      </c>
      <c r="N50" s="39" t="s">
        <v>533</v>
      </c>
      <c r="O50" s="40" t="s">
        <v>534</v>
      </c>
      <c r="P50" s="40"/>
      <c r="Q50" s="39" t="s">
        <v>535</v>
      </c>
      <c r="R50" s="43" t="s">
        <v>536</v>
      </c>
      <c r="S50" s="51" t="s">
        <v>537</v>
      </c>
      <c r="T50" s="70">
        <v>43184.0</v>
      </c>
      <c r="U50" s="41" t="s">
        <v>538</v>
      </c>
      <c r="V50" s="53">
        <v>9.88113747E8</v>
      </c>
      <c r="W50" s="54" t="s">
        <v>539</v>
      </c>
      <c r="X50" s="39"/>
      <c r="Y50" s="48"/>
      <c r="Z50" s="49">
        <v>46265.0</v>
      </c>
      <c r="AA50" s="39"/>
      <c r="AB50" s="38"/>
      <c r="AC50" s="38"/>
    </row>
    <row r="51" ht="14.25" customHeight="1">
      <c r="A51" s="39" t="s">
        <v>257</v>
      </c>
      <c r="B51" s="39" t="s">
        <v>492</v>
      </c>
      <c r="C51" s="39" t="s">
        <v>73</v>
      </c>
      <c r="D51" s="40" t="s">
        <v>540</v>
      </c>
      <c r="E51" s="39" t="s">
        <v>541</v>
      </c>
      <c r="F51" s="39" t="s">
        <v>76</v>
      </c>
      <c r="G51" s="39" t="s">
        <v>77</v>
      </c>
      <c r="H51" s="41" t="s">
        <v>257</v>
      </c>
      <c r="I51" s="41" t="s">
        <v>73</v>
      </c>
      <c r="J51" s="42" t="s">
        <v>78</v>
      </c>
      <c r="K51" s="41" t="s">
        <v>79</v>
      </c>
      <c r="L51" s="39" t="s">
        <v>531</v>
      </c>
      <c r="M51" s="39" t="s">
        <v>532</v>
      </c>
      <c r="N51" s="39" t="s">
        <v>542</v>
      </c>
      <c r="O51" s="40" t="s">
        <v>534</v>
      </c>
      <c r="P51" s="40"/>
      <c r="Q51" s="39" t="s">
        <v>543</v>
      </c>
      <c r="R51" s="43" t="s">
        <v>544</v>
      </c>
      <c r="S51" s="44" t="s">
        <v>151</v>
      </c>
      <c r="T51" s="45">
        <v>46273.0</v>
      </c>
      <c r="U51" s="41" t="s">
        <v>545</v>
      </c>
      <c r="V51" s="53">
        <v>9.86128046E8</v>
      </c>
      <c r="W51" s="60" t="s">
        <v>546</v>
      </c>
      <c r="X51" s="39"/>
      <c r="Y51" s="48"/>
      <c r="Z51" s="49">
        <v>46265.0</v>
      </c>
      <c r="AA51" s="39"/>
      <c r="AB51" s="38"/>
      <c r="AC51" s="38"/>
    </row>
    <row r="52" ht="14.25" customHeight="1">
      <c r="A52" s="39" t="s">
        <v>257</v>
      </c>
      <c r="B52" s="39" t="s">
        <v>492</v>
      </c>
      <c r="C52" s="39" t="s">
        <v>73</v>
      </c>
      <c r="D52" s="40" t="s">
        <v>547</v>
      </c>
      <c r="E52" s="39" t="s">
        <v>548</v>
      </c>
      <c r="F52" s="39" t="s">
        <v>76</v>
      </c>
      <c r="G52" s="39" t="s">
        <v>77</v>
      </c>
      <c r="H52" s="41" t="s">
        <v>257</v>
      </c>
      <c r="I52" s="41" t="s">
        <v>73</v>
      </c>
      <c r="J52" s="50" t="s">
        <v>105</v>
      </c>
      <c r="K52" s="41" t="s">
        <v>79</v>
      </c>
      <c r="L52" s="39" t="s">
        <v>531</v>
      </c>
      <c r="M52" s="39" t="s">
        <v>549</v>
      </c>
      <c r="N52" s="39" t="s">
        <v>550</v>
      </c>
      <c r="O52" s="40" t="s">
        <v>534</v>
      </c>
      <c r="P52" s="40"/>
      <c r="Q52" s="39" t="s">
        <v>551</v>
      </c>
      <c r="R52" s="43" t="s">
        <v>552</v>
      </c>
      <c r="S52" s="44" t="s">
        <v>86</v>
      </c>
      <c r="T52" s="48"/>
      <c r="U52" s="41" t="s">
        <v>553</v>
      </c>
      <c r="V52" s="53">
        <v>9.82168443E8</v>
      </c>
      <c r="W52" s="60" t="s">
        <v>554</v>
      </c>
      <c r="X52" s="39"/>
      <c r="Y52" s="48"/>
      <c r="Z52" s="49">
        <v>46265.0</v>
      </c>
      <c r="AA52" s="39"/>
      <c r="AB52" s="38"/>
      <c r="AC52" s="38"/>
    </row>
    <row r="53" ht="14.25" customHeight="1">
      <c r="A53" s="39" t="s">
        <v>257</v>
      </c>
      <c r="B53" s="39" t="s">
        <v>555</v>
      </c>
      <c r="C53" s="39" t="s">
        <v>73</v>
      </c>
      <c r="D53" s="40" t="s">
        <v>556</v>
      </c>
      <c r="E53" s="39" t="s">
        <v>557</v>
      </c>
      <c r="F53" s="39" t="s">
        <v>76</v>
      </c>
      <c r="G53" s="39" t="s">
        <v>77</v>
      </c>
      <c r="H53" s="41" t="s">
        <v>257</v>
      </c>
      <c r="I53" s="41" t="s">
        <v>73</v>
      </c>
      <c r="J53" s="42" t="s">
        <v>105</v>
      </c>
      <c r="K53" s="41" t="s">
        <v>79</v>
      </c>
      <c r="L53" s="39" t="s">
        <v>558</v>
      </c>
      <c r="M53" s="39" t="s">
        <v>559</v>
      </c>
      <c r="N53" s="39" t="s">
        <v>560</v>
      </c>
      <c r="O53" s="40" t="s">
        <v>561</v>
      </c>
      <c r="P53" s="40"/>
      <c r="Q53" s="39" t="s">
        <v>562</v>
      </c>
      <c r="R53" s="43" t="s">
        <v>563</v>
      </c>
      <c r="S53" s="44" t="s">
        <v>86</v>
      </c>
      <c r="T53" s="48"/>
      <c r="U53" s="41" t="s">
        <v>564</v>
      </c>
      <c r="V53" s="53">
        <v>9.82585512E8</v>
      </c>
      <c r="W53" s="60" t="s">
        <v>565</v>
      </c>
      <c r="X53" s="39"/>
      <c r="Y53" s="48"/>
      <c r="Z53" s="49">
        <v>46265.0</v>
      </c>
      <c r="AA53" s="39"/>
      <c r="AB53" s="38"/>
      <c r="AC53" s="38"/>
    </row>
    <row r="54" ht="14.25" customHeight="1">
      <c r="A54" s="39" t="s">
        <v>257</v>
      </c>
      <c r="B54" s="39" t="s">
        <v>566</v>
      </c>
      <c r="C54" s="39" t="s">
        <v>126</v>
      </c>
      <c r="D54" s="40" t="s">
        <v>567</v>
      </c>
      <c r="E54" s="39" t="s">
        <v>568</v>
      </c>
      <c r="F54" s="39" t="s">
        <v>76</v>
      </c>
      <c r="G54" s="39" t="s">
        <v>202</v>
      </c>
      <c r="H54" s="41" t="s">
        <v>257</v>
      </c>
      <c r="I54" s="39" t="s">
        <v>203</v>
      </c>
      <c r="J54" s="39" t="s">
        <v>129</v>
      </c>
      <c r="K54" s="39" t="s">
        <v>79</v>
      </c>
      <c r="L54" s="39" t="s">
        <v>487</v>
      </c>
      <c r="M54" s="39" t="s">
        <v>569</v>
      </c>
      <c r="N54" s="39"/>
      <c r="O54" s="40" t="s">
        <v>570</v>
      </c>
      <c r="P54" s="40" t="s">
        <v>571</v>
      </c>
      <c r="Q54" s="39"/>
      <c r="R54" s="43" t="s">
        <v>133</v>
      </c>
      <c r="S54" s="51" t="s">
        <v>572</v>
      </c>
      <c r="T54" s="70">
        <v>46156.0</v>
      </c>
      <c r="U54" s="39"/>
      <c r="V54" s="48"/>
      <c r="W54" s="57"/>
      <c r="X54" s="39"/>
      <c r="Y54" s="48"/>
      <c r="Z54" s="49">
        <v>46265.0</v>
      </c>
      <c r="AA54" s="39"/>
      <c r="AB54" s="38"/>
      <c r="AC54" s="38"/>
    </row>
    <row r="55" ht="14.25" customHeight="1">
      <c r="A55" s="39" t="s">
        <v>257</v>
      </c>
      <c r="B55" s="39" t="s">
        <v>566</v>
      </c>
      <c r="C55" s="39" t="s">
        <v>126</v>
      </c>
      <c r="D55" s="40" t="s">
        <v>573</v>
      </c>
      <c r="E55" s="39" t="s">
        <v>574</v>
      </c>
      <c r="F55" s="39" t="s">
        <v>76</v>
      </c>
      <c r="G55" s="39" t="s">
        <v>202</v>
      </c>
      <c r="H55" s="41" t="s">
        <v>257</v>
      </c>
      <c r="I55" s="39" t="s">
        <v>203</v>
      </c>
      <c r="J55" s="39" t="s">
        <v>129</v>
      </c>
      <c r="K55" s="39" t="s">
        <v>79</v>
      </c>
      <c r="L55" s="39" t="s">
        <v>575</v>
      </c>
      <c r="M55" s="39" t="s">
        <v>576</v>
      </c>
      <c r="N55" s="39"/>
      <c r="O55" s="40" t="s">
        <v>577</v>
      </c>
      <c r="P55" s="40"/>
      <c r="Q55" s="39"/>
      <c r="R55" s="43" t="s">
        <v>133</v>
      </c>
      <c r="S55" s="51" t="s">
        <v>578</v>
      </c>
      <c r="T55" s="52">
        <v>46003.0</v>
      </c>
      <c r="U55" s="39"/>
      <c r="V55" s="48"/>
      <c r="W55" s="57"/>
      <c r="X55" s="39"/>
      <c r="Y55" s="48"/>
      <c r="Z55" s="49">
        <v>46265.0</v>
      </c>
      <c r="AA55" s="39"/>
      <c r="AB55" s="38"/>
      <c r="AC55" s="38"/>
    </row>
    <row r="56" ht="14.25" customHeight="1">
      <c r="A56" s="39" t="s">
        <v>257</v>
      </c>
      <c r="B56" s="39" t="s">
        <v>566</v>
      </c>
      <c r="C56" s="39" t="s">
        <v>126</v>
      </c>
      <c r="D56" s="40" t="s">
        <v>579</v>
      </c>
      <c r="E56" s="39" t="s">
        <v>580</v>
      </c>
      <c r="F56" s="39" t="s">
        <v>76</v>
      </c>
      <c r="G56" s="39" t="s">
        <v>202</v>
      </c>
      <c r="H56" s="41" t="s">
        <v>257</v>
      </c>
      <c r="I56" s="39" t="s">
        <v>203</v>
      </c>
      <c r="J56" s="39" t="s">
        <v>129</v>
      </c>
      <c r="K56" s="39" t="s">
        <v>79</v>
      </c>
      <c r="L56" s="39" t="s">
        <v>581</v>
      </c>
      <c r="M56" s="39" t="s">
        <v>582</v>
      </c>
      <c r="N56" s="39"/>
      <c r="O56" s="40" t="s">
        <v>583</v>
      </c>
      <c r="P56" s="40" t="s">
        <v>584</v>
      </c>
      <c r="Q56" s="39"/>
      <c r="R56" s="43" t="s">
        <v>133</v>
      </c>
      <c r="S56" s="51" t="s">
        <v>585</v>
      </c>
      <c r="T56" s="52">
        <v>46003.0</v>
      </c>
      <c r="U56" s="39"/>
      <c r="V56" s="48"/>
      <c r="W56" s="57"/>
      <c r="X56" s="39"/>
      <c r="Y56" s="48"/>
      <c r="Z56" s="49">
        <v>46265.0</v>
      </c>
      <c r="AA56" s="39"/>
      <c r="AB56" s="38"/>
      <c r="AC56" s="38"/>
    </row>
    <row r="57" ht="14.25" customHeight="1">
      <c r="A57" s="39" t="s">
        <v>257</v>
      </c>
      <c r="B57" s="39" t="s">
        <v>566</v>
      </c>
      <c r="C57" s="39" t="s">
        <v>126</v>
      </c>
      <c r="D57" s="40" t="s">
        <v>586</v>
      </c>
      <c r="E57" s="39" t="s">
        <v>587</v>
      </c>
      <c r="F57" s="39" t="s">
        <v>76</v>
      </c>
      <c r="G57" s="39" t="s">
        <v>93</v>
      </c>
      <c r="H57" s="41" t="s">
        <v>257</v>
      </c>
      <c r="I57" s="39"/>
      <c r="J57" s="39" t="s">
        <v>129</v>
      </c>
      <c r="K57" s="39" t="s">
        <v>79</v>
      </c>
      <c r="L57" s="39" t="s">
        <v>588</v>
      </c>
      <c r="M57" s="39" t="s">
        <v>589</v>
      </c>
      <c r="N57" s="39"/>
      <c r="O57" s="40" t="s">
        <v>590</v>
      </c>
      <c r="P57" s="40"/>
      <c r="Q57" s="39"/>
      <c r="R57" s="43" t="s">
        <v>133</v>
      </c>
      <c r="S57" s="44" t="s">
        <v>86</v>
      </c>
      <c r="T57" s="48"/>
      <c r="U57" s="39"/>
      <c r="V57" s="48"/>
      <c r="W57" s="57"/>
      <c r="X57" s="39"/>
      <c r="Y57" s="48"/>
      <c r="Z57" s="49">
        <v>46265.0</v>
      </c>
      <c r="AA57" s="39"/>
      <c r="AB57" s="38"/>
      <c r="AC57" s="38"/>
    </row>
    <row r="58" ht="14.25" customHeight="1">
      <c r="A58" s="39" t="s">
        <v>257</v>
      </c>
      <c r="B58" s="39" t="s">
        <v>566</v>
      </c>
      <c r="C58" s="39" t="s">
        <v>73</v>
      </c>
      <c r="D58" s="40" t="s">
        <v>591</v>
      </c>
      <c r="E58" s="39" t="s">
        <v>592</v>
      </c>
      <c r="F58" s="39" t="s">
        <v>76</v>
      </c>
      <c r="G58" s="39" t="s">
        <v>77</v>
      </c>
      <c r="H58" s="41" t="s">
        <v>257</v>
      </c>
      <c r="I58" s="41" t="s">
        <v>73</v>
      </c>
      <c r="J58" s="50" t="s">
        <v>105</v>
      </c>
      <c r="K58" s="41" t="s">
        <v>79</v>
      </c>
      <c r="L58" s="39" t="s">
        <v>593</v>
      </c>
      <c r="M58" s="39" t="s">
        <v>269</v>
      </c>
      <c r="N58" s="39" t="s">
        <v>594</v>
      </c>
      <c r="O58" s="40" t="s">
        <v>595</v>
      </c>
      <c r="P58" s="40"/>
      <c r="Q58" s="39" t="s">
        <v>596</v>
      </c>
      <c r="R58" s="43"/>
      <c r="S58" s="44" t="s">
        <v>597</v>
      </c>
      <c r="T58" s="45">
        <v>47650.0</v>
      </c>
      <c r="U58" s="41" t="s">
        <v>598</v>
      </c>
      <c r="V58" s="53">
        <v>9.89551509E8</v>
      </c>
      <c r="W58" s="60" t="s">
        <v>599</v>
      </c>
      <c r="X58" s="41" t="s">
        <v>600</v>
      </c>
      <c r="Y58" s="55" t="s">
        <v>601</v>
      </c>
      <c r="Z58" s="49">
        <v>46265.0</v>
      </c>
      <c r="AA58" s="39"/>
      <c r="AB58" s="38"/>
      <c r="AC58" s="38"/>
    </row>
    <row r="59" ht="14.25" customHeight="1">
      <c r="A59" s="39" t="s">
        <v>257</v>
      </c>
      <c r="B59" s="39" t="s">
        <v>566</v>
      </c>
      <c r="C59" s="39" t="s">
        <v>73</v>
      </c>
      <c r="D59" s="40" t="s">
        <v>602</v>
      </c>
      <c r="E59" s="39" t="s">
        <v>603</v>
      </c>
      <c r="F59" s="39" t="s">
        <v>76</v>
      </c>
      <c r="G59" s="39" t="s">
        <v>77</v>
      </c>
      <c r="H59" s="41" t="s">
        <v>257</v>
      </c>
      <c r="I59" s="41" t="s">
        <v>73</v>
      </c>
      <c r="J59" s="42" t="s">
        <v>105</v>
      </c>
      <c r="K59" s="41" t="s">
        <v>79</v>
      </c>
      <c r="L59" s="39" t="s">
        <v>604</v>
      </c>
      <c r="M59" s="39" t="s">
        <v>269</v>
      </c>
      <c r="N59" s="39" t="s">
        <v>605</v>
      </c>
      <c r="O59" s="40" t="s">
        <v>606</v>
      </c>
      <c r="P59" s="40"/>
      <c r="Q59" s="39" t="s">
        <v>607</v>
      </c>
      <c r="R59" s="43"/>
      <c r="S59" s="51" t="s">
        <v>608</v>
      </c>
      <c r="T59" s="70">
        <v>45082.0</v>
      </c>
      <c r="U59" s="41" t="s">
        <v>609</v>
      </c>
      <c r="V59" s="53">
        <v>9.88093255E8</v>
      </c>
      <c r="W59" s="60" t="s">
        <v>610</v>
      </c>
      <c r="X59" s="41" t="s">
        <v>611</v>
      </c>
      <c r="Y59" s="55" t="s">
        <v>612</v>
      </c>
      <c r="Z59" s="49">
        <v>46265.0</v>
      </c>
      <c r="AA59" s="39"/>
      <c r="AB59" s="38"/>
      <c r="AC59" s="38"/>
    </row>
    <row r="60" ht="14.25" customHeight="1">
      <c r="A60" s="39" t="s">
        <v>257</v>
      </c>
      <c r="B60" s="39" t="s">
        <v>566</v>
      </c>
      <c r="C60" s="39" t="s">
        <v>73</v>
      </c>
      <c r="D60" s="40" t="s">
        <v>613</v>
      </c>
      <c r="E60" s="39" t="s">
        <v>614</v>
      </c>
      <c r="F60" s="39" t="s">
        <v>76</v>
      </c>
      <c r="G60" s="39" t="s">
        <v>77</v>
      </c>
      <c r="H60" s="41" t="s">
        <v>257</v>
      </c>
      <c r="I60" s="41" t="s">
        <v>73</v>
      </c>
      <c r="J60" s="50" t="s">
        <v>105</v>
      </c>
      <c r="K60" s="41" t="s">
        <v>79</v>
      </c>
      <c r="L60" s="39" t="s">
        <v>615</v>
      </c>
      <c r="M60" s="39" t="s">
        <v>269</v>
      </c>
      <c r="N60" s="39" t="s">
        <v>616</v>
      </c>
      <c r="O60" s="40" t="s">
        <v>617</v>
      </c>
      <c r="P60" s="40"/>
      <c r="Q60" s="39" t="s">
        <v>618</v>
      </c>
      <c r="R60" s="43"/>
      <c r="S60" s="44" t="s">
        <v>619</v>
      </c>
      <c r="T60" s="61">
        <v>47078.0</v>
      </c>
      <c r="U60" s="41" t="s">
        <v>620</v>
      </c>
      <c r="V60" s="53">
        <v>9.81032068E8</v>
      </c>
      <c r="W60" s="60" t="s">
        <v>621</v>
      </c>
      <c r="X60" s="41" t="s">
        <v>622</v>
      </c>
      <c r="Y60" s="55" t="s">
        <v>623</v>
      </c>
      <c r="Z60" s="49">
        <v>46265.0</v>
      </c>
      <c r="AA60" s="39"/>
      <c r="AB60" s="38"/>
      <c r="AC60" s="38"/>
    </row>
    <row r="61" ht="14.25" customHeight="1">
      <c r="A61" s="39" t="s">
        <v>257</v>
      </c>
      <c r="B61" s="39" t="s">
        <v>566</v>
      </c>
      <c r="C61" s="39" t="s">
        <v>73</v>
      </c>
      <c r="D61" s="40" t="s">
        <v>624</v>
      </c>
      <c r="E61" s="39" t="s">
        <v>625</v>
      </c>
      <c r="F61" s="39" t="s">
        <v>76</v>
      </c>
      <c r="G61" s="39" t="s">
        <v>77</v>
      </c>
      <c r="H61" s="41" t="s">
        <v>257</v>
      </c>
      <c r="I61" s="41" t="s">
        <v>73</v>
      </c>
      <c r="J61" s="42" t="s">
        <v>145</v>
      </c>
      <c r="K61" s="41" t="s">
        <v>79</v>
      </c>
      <c r="L61" s="39" t="s">
        <v>626</v>
      </c>
      <c r="M61" s="39" t="s">
        <v>627</v>
      </c>
      <c r="N61" s="39" t="s">
        <v>628</v>
      </c>
      <c r="O61" s="40" t="s">
        <v>629</v>
      </c>
      <c r="P61" s="40"/>
      <c r="Q61" s="39" t="s">
        <v>630</v>
      </c>
      <c r="R61" s="43" t="s">
        <v>631</v>
      </c>
      <c r="S61" s="44" t="s">
        <v>151</v>
      </c>
      <c r="T61" s="45">
        <v>46273.0</v>
      </c>
      <c r="U61" s="41" t="s">
        <v>632</v>
      </c>
      <c r="V61" s="53">
        <v>9.85066674E8</v>
      </c>
      <c r="W61" s="60" t="s">
        <v>633</v>
      </c>
      <c r="X61" s="41" t="s">
        <v>634</v>
      </c>
      <c r="Y61" s="55" t="s">
        <v>635</v>
      </c>
      <c r="Z61" s="49">
        <v>46265.0</v>
      </c>
      <c r="AA61" s="39"/>
      <c r="AB61" s="38"/>
      <c r="AC61" s="38"/>
    </row>
    <row r="62" ht="14.25" customHeight="1">
      <c r="A62" s="39" t="s">
        <v>257</v>
      </c>
      <c r="B62" s="39" t="s">
        <v>566</v>
      </c>
      <c r="C62" s="39" t="s">
        <v>73</v>
      </c>
      <c r="D62" s="40" t="s">
        <v>636</v>
      </c>
      <c r="E62" s="39" t="s">
        <v>637</v>
      </c>
      <c r="F62" s="39" t="s">
        <v>76</v>
      </c>
      <c r="G62" s="39" t="s">
        <v>77</v>
      </c>
      <c r="H62" s="41" t="s">
        <v>257</v>
      </c>
      <c r="I62" s="41" t="s">
        <v>73</v>
      </c>
      <c r="J62" s="50" t="s">
        <v>145</v>
      </c>
      <c r="K62" s="41" t="s">
        <v>79</v>
      </c>
      <c r="L62" s="39" t="s">
        <v>638</v>
      </c>
      <c r="M62" s="39" t="s">
        <v>639</v>
      </c>
      <c r="N62" s="39" t="s">
        <v>640</v>
      </c>
      <c r="O62" s="40" t="s">
        <v>641</v>
      </c>
      <c r="P62" s="40"/>
      <c r="Q62" s="39" t="s">
        <v>642</v>
      </c>
      <c r="R62" s="43" t="s">
        <v>643</v>
      </c>
      <c r="S62" s="44" t="s">
        <v>86</v>
      </c>
      <c r="T62" s="48"/>
      <c r="U62" s="41" t="s">
        <v>644</v>
      </c>
      <c r="V62" s="53"/>
      <c r="W62" s="60" t="s">
        <v>645</v>
      </c>
      <c r="X62" s="39"/>
      <c r="Y62" s="48"/>
      <c r="Z62" s="49">
        <v>46265.0</v>
      </c>
      <c r="AA62" s="39"/>
      <c r="AB62" s="38"/>
      <c r="AC62" s="38"/>
    </row>
    <row r="63" ht="14.25" customHeight="1">
      <c r="A63" s="39" t="s">
        <v>257</v>
      </c>
      <c r="B63" s="39" t="s">
        <v>566</v>
      </c>
      <c r="C63" s="39" t="s">
        <v>73</v>
      </c>
      <c r="D63" s="40" t="s">
        <v>646</v>
      </c>
      <c r="E63" s="39" t="s">
        <v>647</v>
      </c>
      <c r="F63" s="39" t="s">
        <v>76</v>
      </c>
      <c r="G63" s="39" t="s">
        <v>77</v>
      </c>
      <c r="H63" s="41" t="s">
        <v>257</v>
      </c>
      <c r="I63" s="41" t="s">
        <v>73</v>
      </c>
      <c r="J63" s="42" t="s">
        <v>105</v>
      </c>
      <c r="K63" s="41" t="s">
        <v>79</v>
      </c>
      <c r="L63" s="39" t="s">
        <v>648</v>
      </c>
      <c r="M63" s="39" t="s">
        <v>269</v>
      </c>
      <c r="N63" s="39" t="s">
        <v>649</v>
      </c>
      <c r="O63" s="40" t="s">
        <v>650</v>
      </c>
      <c r="P63" s="40"/>
      <c r="Q63" s="39" t="s">
        <v>651</v>
      </c>
      <c r="R63" s="43"/>
      <c r="S63" s="44" t="s">
        <v>652</v>
      </c>
      <c r="T63" s="45">
        <v>46924.0</v>
      </c>
      <c r="U63" s="41" t="s">
        <v>653</v>
      </c>
      <c r="V63" s="53">
        <v>9.81537028E8</v>
      </c>
      <c r="W63" s="60" t="s">
        <v>654</v>
      </c>
      <c r="X63" s="41" t="s">
        <v>655</v>
      </c>
      <c r="Y63" s="55" t="s">
        <v>656</v>
      </c>
      <c r="Z63" s="49">
        <v>46265.0</v>
      </c>
      <c r="AA63" s="39"/>
      <c r="AB63" s="38"/>
      <c r="AC63" s="38"/>
    </row>
    <row r="64" ht="14.25" customHeight="1">
      <c r="A64" s="39" t="s">
        <v>257</v>
      </c>
      <c r="B64" s="39" t="s">
        <v>566</v>
      </c>
      <c r="C64" s="39" t="s">
        <v>73</v>
      </c>
      <c r="D64" s="40" t="s">
        <v>657</v>
      </c>
      <c r="E64" s="39" t="s">
        <v>658</v>
      </c>
      <c r="F64" s="39" t="s">
        <v>76</v>
      </c>
      <c r="G64" s="39" t="s">
        <v>77</v>
      </c>
      <c r="H64" s="41" t="s">
        <v>257</v>
      </c>
      <c r="I64" s="41" t="s">
        <v>73</v>
      </c>
      <c r="J64" s="50" t="s">
        <v>78</v>
      </c>
      <c r="K64" s="41" t="s">
        <v>79</v>
      </c>
      <c r="L64" s="39" t="s">
        <v>659</v>
      </c>
      <c r="M64" s="39" t="s">
        <v>660</v>
      </c>
      <c r="N64" s="39" t="s">
        <v>661</v>
      </c>
      <c r="O64" s="40" t="s">
        <v>662</v>
      </c>
      <c r="P64" s="40"/>
      <c r="Q64" s="39" t="s">
        <v>663</v>
      </c>
      <c r="R64" s="43" t="s">
        <v>664</v>
      </c>
      <c r="S64" s="44" t="s">
        <v>86</v>
      </c>
      <c r="T64" s="48"/>
      <c r="U64" s="41" t="s">
        <v>665</v>
      </c>
      <c r="V64" s="53">
        <v>9.85005411E8</v>
      </c>
      <c r="W64" s="60" t="s">
        <v>666</v>
      </c>
      <c r="X64" s="39"/>
      <c r="Y64" s="48"/>
      <c r="Z64" s="49">
        <v>46265.0</v>
      </c>
      <c r="AA64" s="39"/>
      <c r="AB64" s="38"/>
      <c r="AC64" s="38"/>
    </row>
    <row r="65" ht="14.25" customHeight="1">
      <c r="A65" s="39" t="s">
        <v>257</v>
      </c>
      <c r="B65" s="39" t="s">
        <v>566</v>
      </c>
      <c r="C65" s="39" t="s">
        <v>73</v>
      </c>
      <c r="D65" s="40" t="s">
        <v>667</v>
      </c>
      <c r="E65" s="39" t="s">
        <v>668</v>
      </c>
      <c r="F65" s="39" t="s">
        <v>76</v>
      </c>
      <c r="G65" s="39" t="s">
        <v>77</v>
      </c>
      <c r="H65" s="41" t="s">
        <v>257</v>
      </c>
      <c r="I65" s="41" t="s">
        <v>73</v>
      </c>
      <c r="J65" s="42" t="s">
        <v>105</v>
      </c>
      <c r="K65" s="41" t="s">
        <v>79</v>
      </c>
      <c r="L65" s="39" t="s">
        <v>669</v>
      </c>
      <c r="M65" s="39" t="s">
        <v>670</v>
      </c>
      <c r="N65" s="39" t="s">
        <v>671</v>
      </c>
      <c r="O65" s="40" t="s">
        <v>672</v>
      </c>
      <c r="P65" s="40"/>
      <c r="Q65" s="39" t="s">
        <v>673</v>
      </c>
      <c r="R65" s="43" t="s">
        <v>674</v>
      </c>
      <c r="S65" s="44" t="s">
        <v>86</v>
      </c>
      <c r="T65" s="48"/>
      <c r="U65" s="42" t="s">
        <v>675</v>
      </c>
      <c r="V65" s="46">
        <v>9.84549802E8</v>
      </c>
      <c r="W65" s="60" t="s">
        <v>676</v>
      </c>
      <c r="X65" s="39"/>
      <c r="Y65" s="48"/>
      <c r="Z65" s="49">
        <v>46265.0</v>
      </c>
      <c r="AA65" s="39"/>
      <c r="AB65" s="38"/>
      <c r="AC65" s="38"/>
    </row>
    <row r="66" ht="14.25" customHeight="1">
      <c r="A66" s="39" t="s">
        <v>257</v>
      </c>
      <c r="B66" s="39" t="s">
        <v>566</v>
      </c>
      <c r="C66" s="39" t="s">
        <v>73</v>
      </c>
      <c r="D66" s="40" t="s">
        <v>677</v>
      </c>
      <c r="E66" s="39" t="s">
        <v>678</v>
      </c>
      <c r="F66" s="39" t="s">
        <v>76</v>
      </c>
      <c r="G66" s="39" t="s">
        <v>77</v>
      </c>
      <c r="H66" s="41" t="s">
        <v>257</v>
      </c>
      <c r="I66" s="41" t="s">
        <v>73</v>
      </c>
      <c r="J66" s="50" t="s">
        <v>105</v>
      </c>
      <c r="K66" s="41" t="s">
        <v>79</v>
      </c>
      <c r="L66" s="39" t="s">
        <v>581</v>
      </c>
      <c r="M66" s="39" t="s">
        <v>679</v>
      </c>
      <c r="N66" s="39"/>
      <c r="O66" s="40" t="s">
        <v>583</v>
      </c>
      <c r="P66" s="40"/>
      <c r="Q66" s="39" t="s">
        <v>680</v>
      </c>
      <c r="R66" s="43" t="s">
        <v>681</v>
      </c>
      <c r="S66" s="44" t="s">
        <v>151</v>
      </c>
      <c r="T66" s="45">
        <v>46273.0</v>
      </c>
      <c r="U66" s="41" t="s">
        <v>682</v>
      </c>
      <c r="V66" s="53">
        <v>9.82043891E8</v>
      </c>
      <c r="W66" s="60" t="s">
        <v>683</v>
      </c>
      <c r="X66" s="41" t="s">
        <v>684</v>
      </c>
      <c r="Y66" s="55" t="s">
        <v>685</v>
      </c>
      <c r="Z66" s="49">
        <v>46265.0</v>
      </c>
      <c r="AA66" s="39"/>
      <c r="AB66" s="38"/>
      <c r="AC66" s="38"/>
    </row>
    <row r="67" ht="14.25" customHeight="1">
      <c r="A67" s="39" t="s">
        <v>257</v>
      </c>
      <c r="B67" s="39" t="s">
        <v>686</v>
      </c>
      <c r="C67" s="39" t="s">
        <v>73</v>
      </c>
      <c r="D67" s="40" t="s">
        <v>687</v>
      </c>
      <c r="E67" s="39" t="s">
        <v>688</v>
      </c>
      <c r="F67" s="39" t="s">
        <v>76</v>
      </c>
      <c r="G67" s="39" t="s">
        <v>77</v>
      </c>
      <c r="H67" s="41" t="s">
        <v>257</v>
      </c>
      <c r="I67" s="41" t="s">
        <v>73</v>
      </c>
      <c r="J67" s="42" t="s">
        <v>78</v>
      </c>
      <c r="K67" s="41" t="s">
        <v>79</v>
      </c>
      <c r="L67" s="39" t="s">
        <v>689</v>
      </c>
      <c r="M67" s="39" t="s">
        <v>690</v>
      </c>
      <c r="N67" s="39"/>
      <c r="O67" s="40" t="s">
        <v>691</v>
      </c>
      <c r="P67" s="40"/>
      <c r="Q67" s="39" t="s">
        <v>692</v>
      </c>
      <c r="R67" s="43" t="s">
        <v>693</v>
      </c>
      <c r="S67" s="44" t="s">
        <v>151</v>
      </c>
      <c r="T67" s="45">
        <v>46273.0</v>
      </c>
      <c r="U67" s="41" t="s">
        <v>694</v>
      </c>
      <c r="V67" s="53">
        <v>9.84190069E8</v>
      </c>
      <c r="W67" s="60" t="s">
        <v>695</v>
      </c>
      <c r="X67" s="39"/>
      <c r="Y67" s="48"/>
      <c r="Z67" s="49">
        <v>46265.0</v>
      </c>
      <c r="AA67" s="39"/>
      <c r="AB67" s="38"/>
      <c r="AC67" s="38"/>
    </row>
    <row r="68" ht="14.25" customHeight="1">
      <c r="A68" s="39" t="s">
        <v>696</v>
      </c>
      <c r="B68" s="39" t="s">
        <v>697</v>
      </c>
      <c r="C68" s="39" t="s">
        <v>126</v>
      </c>
      <c r="D68" s="40" t="s">
        <v>698</v>
      </c>
      <c r="E68" s="39" t="s">
        <v>699</v>
      </c>
      <c r="F68" s="39" t="s">
        <v>76</v>
      </c>
      <c r="G68" s="39" t="s">
        <v>202</v>
      </c>
      <c r="H68" s="41" t="s">
        <v>257</v>
      </c>
      <c r="I68" s="39" t="s">
        <v>203</v>
      </c>
      <c r="J68" s="39" t="s">
        <v>129</v>
      </c>
      <c r="K68" s="39" t="s">
        <v>79</v>
      </c>
      <c r="L68" s="39" t="s">
        <v>700</v>
      </c>
      <c r="M68" s="39" t="s">
        <v>701</v>
      </c>
      <c r="N68" s="39"/>
      <c r="O68" s="40" t="s">
        <v>702</v>
      </c>
      <c r="P68" s="40"/>
      <c r="Q68" s="39"/>
      <c r="R68" s="43" t="s">
        <v>133</v>
      </c>
      <c r="S68" s="51" t="s">
        <v>703</v>
      </c>
      <c r="T68" s="52">
        <v>45947.0</v>
      </c>
      <c r="U68" s="39"/>
      <c r="V68" s="48"/>
      <c r="W68" s="57"/>
      <c r="X68" s="39"/>
      <c r="Y68" s="48"/>
      <c r="Z68" s="49">
        <v>46265.0</v>
      </c>
      <c r="AA68" s="39"/>
      <c r="AB68" s="38"/>
      <c r="AC68" s="38"/>
    </row>
    <row r="69" ht="14.25" customHeight="1">
      <c r="A69" s="39" t="s">
        <v>696</v>
      </c>
      <c r="B69" s="39" t="s">
        <v>697</v>
      </c>
      <c r="C69" s="39" t="s">
        <v>73</v>
      </c>
      <c r="D69" s="40" t="s">
        <v>704</v>
      </c>
      <c r="E69" s="39" t="s">
        <v>705</v>
      </c>
      <c r="F69" s="39" t="s">
        <v>76</v>
      </c>
      <c r="G69" s="39" t="s">
        <v>77</v>
      </c>
      <c r="H69" s="41" t="s">
        <v>696</v>
      </c>
      <c r="I69" s="41" t="s">
        <v>73</v>
      </c>
      <c r="J69" s="42" t="s">
        <v>105</v>
      </c>
      <c r="K69" s="41" t="s">
        <v>79</v>
      </c>
      <c r="L69" s="39" t="s">
        <v>706</v>
      </c>
      <c r="M69" s="39" t="s">
        <v>707</v>
      </c>
      <c r="N69" s="39" t="s">
        <v>708</v>
      </c>
      <c r="O69" s="40" t="s">
        <v>709</v>
      </c>
      <c r="P69" s="40"/>
      <c r="Q69" s="39"/>
      <c r="R69" s="43" t="s">
        <v>710</v>
      </c>
      <c r="S69" s="44" t="s">
        <v>86</v>
      </c>
      <c r="T69" s="48"/>
      <c r="U69" s="41" t="s">
        <v>711</v>
      </c>
      <c r="V69" s="53">
        <v>9.84331944E8</v>
      </c>
      <c r="W69" s="60" t="s">
        <v>712</v>
      </c>
      <c r="X69" s="39"/>
      <c r="Y69" s="48"/>
      <c r="Z69" s="49">
        <v>46265.0</v>
      </c>
      <c r="AA69" s="39"/>
      <c r="AB69" s="38"/>
      <c r="AC69" s="38"/>
    </row>
    <row r="70" ht="14.25" customHeight="1">
      <c r="A70" s="39" t="s">
        <v>696</v>
      </c>
      <c r="B70" s="39" t="s">
        <v>697</v>
      </c>
      <c r="C70" s="39" t="s">
        <v>73</v>
      </c>
      <c r="D70" s="40" t="s">
        <v>713</v>
      </c>
      <c r="E70" s="39" t="s">
        <v>714</v>
      </c>
      <c r="F70" s="39" t="s">
        <v>76</v>
      </c>
      <c r="G70" s="39" t="s">
        <v>77</v>
      </c>
      <c r="H70" s="41" t="s">
        <v>696</v>
      </c>
      <c r="I70" s="41" t="s">
        <v>73</v>
      </c>
      <c r="J70" s="50" t="s">
        <v>105</v>
      </c>
      <c r="K70" s="41" t="s">
        <v>79</v>
      </c>
      <c r="L70" s="39" t="s">
        <v>700</v>
      </c>
      <c r="M70" s="39" t="s">
        <v>304</v>
      </c>
      <c r="N70" s="39" t="s">
        <v>715</v>
      </c>
      <c r="O70" s="40" t="s">
        <v>702</v>
      </c>
      <c r="P70" s="40"/>
      <c r="Q70" s="39" t="s">
        <v>716</v>
      </c>
      <c r="R70" s="43" t="s">
        <v>717</v>
      </c>
      <c r="S70" s="44" t="s">
        <v>718</v>
      </c>
      <c r="T70" s="45">
        <v>47608.0</v>
      </c>
      <c r="U70" s="41" t="s">
        <v>719</v>
      </c>
      <c r="V70" s="53">
        <v>9.80869992E8</v>
      </c>
      <c r="W70" s="54" t="s">
        <v>720</v>
      </c>
      <c r="X70" s="39"/>
      <c r="Y70" s="48"/>
      <c r="Z70" s="49">
        <v>46265.0</v>
      </c>
      <c r="AA70" s="39"/>
      <c r="AB70" s="38"/>
      <c r="AC70" s="38"/>
    </row>
    <row r="71" ht="14.25" customHeight="1">
      <c r="A71" s="39" t="s">
        <v>696</v>
      </c>
      <c r="B71" s="39" t="s">
        <v>697</v>
      </c>
      <c r="C71" s="39" t="s">
        <v>73</v>
      </c>
      <c r="D71" s="40" t="s">
        <v>721</v>
      </c>
      <c r="E71" s="39" t="s">
        <v>722</v>
      </c>
      <c r="F71" s="39" t="s">
        <v>76</v>
      </c>
      <c r="G71" s="39" t="s">
        <v>77</v>
      </c>
      <c r="H71" s="41" t="s">
        <v>696</v>
      </c>
      <c r="I71" s="41" t="s">
        <v>73</v>
      </c>
      <c r="J71" s="42" t="s">
        <v>105</v>
      </c>
      <c r="K71" s="41" t="s">
        <v>79</v>
      </c>
      <c r="L71" s="39" t="s">
        <v>723</v>
      </c>
      <c r="M71" s="39" t="s">
        <v>269</v>
      </c>
      <c r="N71" s="39" t="s">
        <v>724</v>
      </c>
      <c r="O71" s="40" t="s">
        <v>725</v>
      </c>
      <c r="P71" s="40"/>
      <c r="Q71" s="39" t="s">
        <v>726</v>
      </c>
      <c r="R71" s="43"/>
      <c r="S71" s="51" t="s">
        <v>727</v>
      </c>
      <c r="T71" s="52">
        <v>45958.0</v>
      </c>
      <c r="U71" s="41" t="s">
        <v>728</v>
      </c>
      <c r="V71" s="46">
        <v>9.81240156E8</v>
      </c>
      <c r="W71" s="60" t="s">
        <v>729</v>
      </c>
      <c r="X71" s="41" t="s">
        <v>730</v>
      </c>
      <c r="Y71" s="55" t="s">
        <v>731</v>
      </c>
      <c r="Z71" s="49">
        <v>46265.0</v>
      </c>
      <c r="AA71" s="39"/>
      <c r="AB71" s="38"/>
      <c r="AC71" s="38"/>
    </row>
    <row r="72" ht="14.25" customHeight="1">
      <c r="A72" s="39" t="s">
        <v>696</v>
      </c>
      <c r="B72" s="39" t="s">
        <v>697</v>
      </c>
      <c r="C72" s="39" t="s">
        <v>73</v>
      </c>
      <c r="D72" s="40" t="s">
        <v>732</v>
      </c>
      <c r="E72" s="39" t="s">
        <v>733</v>
      </c>
      <c r="F72" s="39" t="s">
        <v>76</v>
      </c>
      <c r="G72" s="39" t="s">
        <v>77</v>
      </c>
      <c r="H72" s="41" t="s">
        <v>696</v>
      </c>
      <c r="I72" s="41" t="s">
        <v>73</v>
      </c>
      <c r="J72" s="50" t="s">
        <v>105</v>
      </c>
      <c r="K72" s="41" t="s">
        <v>79</v>
      </c>
      <c r="L72" s="39" t="s">
        <v>700</v>
      </c>
      <c r="M72" s="39" t="s">
        <v>269</v>
      </c>
      <c r="N72" s="39" t="s">
        <v>734</v>
      </c>
      <c r="O72" s="40" t="s">
        <v>702</v>
      </c>
      <c r="P72" s="40"/>
      <c r="Q72" s="39" t="s">
        <v>735</v>
      </c>
      <c r="R72" s="43" t="s">
        <v>736</v>
      </c>
      <c r="S72" s="51" t="s">
        <v>737</v>
      </c>
      <c r="T72" s="70">
        <v>45066.0</v>
      </c>
      <c r="U72" s="41" t="s">
        <v>738</v>
      </c>
      <c r="V72" s="53">
        <v>9.91648904E8</v>
      </c>
      <c r="W72" s="54" t="s">
        <v>739</v>
      </c>
      <c r="X72" s="41" t="s">
        <v>740</v>
      </c>
      <c r="Y72" s="55" t="s">
        <v>741</v>
      </c>
      <c r="Z72" s="49">
        <v>46265.0</v>
      </c>
      <c r="AA72" s="39"/>
      <c r="AB72" s="38"/>
      <c r="AC72" s="38"/>
    </row>
    <row r="73" ht="14.25" customHeight="1">
      <c r="A73" s="39" t="s">
        <v>696</v>
      </c>
      <c r="B73" s="39" t="s">
        <v>697</v>
      </c>
      <c r="C73" s="39" t="s">
        <v>73</v>
      </c>
      <c r="D73" s="40" t="s">
        <v>742</v>
      </c>
      <c r="E73" s="39" t="s">
        <v>743</v>
      </c>
      <c r="F73" s="39" t="s">
        <v>76</v>
      </c>
      <c r="G73" s="39" t="s">
        <v>77</v>
      </c>
      <c r="H73" s="41" t="s">
        <v>696</v>
      </c>
      <c r="I73" s="41" t="s">
        <v>73</v>
      </c>
      <c r="J73" s="42" t="s">
        <v>78</v>
      </c>
      <c r="K73" s="41" t="s">
        <v>79</v>
      </c>
      <c r="L73" s="39" t="s">
        <v>744</v>
      </c>
      <c r="M73" s="39" t="s">
        <v>745</v>
      </c>
      <c r="N73" s="39" t="s">
        <v>746</v>
      </c>
      <c r="O73" s="40" t="s">
        <v>747</v>
      </c>
      <c r="P73" s="40"/>
      <c r="Q73" s="39" t="s">
        <v>748</v>
      </c>
      <c r="R73" s="43" t="s">
        <v>749</v>
      </c>
      <c r="S73" s="44" t="s">
        <v>86</v>
      </c>
      <c r="T73" s="48"/>
      <c r="U73" s="41" t="s">
        <v>750</v>
      </c>
      <c r="V73" s="53">
        <v>9.92086034E8</v>
      </c>
      <c r="W73" s="60" t="s">
        <v>751</v>
      </c>
      <c r="X73" s="39"/>
      <c r="Y73" s="48"/>
      <c r="Z73" s="49">
        <v>46265.0</v>
      </c>
      <c r="AA73" s="39"/>
      <c r="AB73" s="38"/>
      <c r="AC73" s="38"/>
    </row>
    <row r="74" ht="14.25" customHeight="1">
      <c r="A74" s="39" t="s">
        <v>696</v>
      </c>
      <c r="B74" s="39" t="s">
        <v>697</v>
      </c>
      <c r="C74" s="39" t="s">
        <v>73</v>
      </c>
      <c r="D74" s="40" t="s">
        <v>752</v>
      </c>
      <c r="E74" s="39" t="s">
        <v>753</v>
      </c>
      <c r="F74" s="39" t="s">
        <v>76</v>
      </c>
      <c r="G74" s="39" t="s">
        <v>77</v>
      </c>
      <c r="H74" s="41" t="s">
        <v>754</v>
      </c>
      <c r="I74" s="41" t="s">
        <v>73</v>
      </c>
      <c r="J74" s="50" t="s">
        <v>78</v>
      </c>
      <c r="K74" s="41" t="s">
        <v>79</v>
      </c>
      <c r="L74" s="39" t="s">
        <v>755</v>
      </c>
      <c r="M74" s="39" t="s">
        <v>756</v>
      </c>
      <c r="N74" s="39" t="s">
        <v>757</v>
      </c>
      <c r="O74" s="40" t="s">
        <v>758</v>
      </c>
      <c r="P74" s="40"/>
      <c r="Q74" s="39" t="s">
        <v>759</v>
      </c>
      <c r="R74" s="43" t="s">
        <v>760</v>
      </c>
      <c r="S74" s="44" t="s">
        <v>151</v>
      </c>
      <c r="T74" s="45">
        <v>46273.0</v>
      </c>
      <c r="U74" s="41" t="s">
        <v>761</v>
      </c>
      <c r="V74" s="53">
        <v>9.83590264E8</v>
      </c>
      <c r="W74" s="60" t="s">
        <v>762</v>
      </c>
      <c r="X74" s="41" t="s">
        <v>763</v>
      </c>
      <c r="Y74" s="55" t="s">
        <v>764</v>
      </c>
      <c r="Z74" s="49">
        <v>46265.0</v>
      </c>
      <c r="AA74" s="39"/>
      <c r="AB74" s="38"/>
      <c r="AC74" s="38"/>
    </row>
    <row r="75" ht="14.25" customHeight="1">
      <c r="A75" s="39" t="s">
        <v>696</v>
      </c>
      <c r="B75" s="39" t="s">
        <v>765</v>
      </c>
      <c r="C75" s="39" t="s">
        <v>73</v>
      </c>
      <c r="D75" s="40" t="s">
        <v>766</v>
      </c>
      <c r="E75" s="39" t="s">
        <v>767</v>
      </c>
      <c r="F75" s="39" t="s">
        <v>76</v>
      </c>
      <c r="G75" s="39" t="s">
        <v>77</v>
      </c>
      <c r="H75" s="41" t="s">
        <v>696</v>
      </c>
      <c r="I75" s="41" t="s">
        <v>73</v>
      </c>
      <c r="J75" s="42" t="s">
        <v>105</v>
      </c>
      <c r="K75" s="41" t="s">
        <v>79</v>
      </c>
      <c r="L75" s="39" t="s">
        <v>768</v>
      </c>
      <c r="M75" s="39" t="s">
        <v>269</v>
      </c>
      <c r="N75" s="39" t="s">
        <v>769</v>
      </c>
      <c r="O75" s="40" t="s">
        <v>770</v>
      </c>
      <c r="P75" s="40"/>
      <c r="Q75" s="39" t="s">
        <v>771</v>
      </c>
      <c r="R75" s="43" t="s">
        <v>772</v>
      </c>
      <c r="S75" s="62" t="s">
        <v>773</v>
      </c>
      <c r="T75" s="71">
        <v>47413.0</v>
      </c>
      <c r="U75" s="41" t="s">
        <v>774</v>
      </c>
      <c r="V75" s="53">
        <v>9.83147289E8</v>
      </c>
      <c r="W75" s="60" t="s">
        <v>775</v>
      </c>
      <c r="X75" s="41" t="s">
        <v>776</v>
      </c>
      <c r="Y75" s="55" t="s">
        <v>777</v>
      </c>
      <c r="Z75" s="49">
        <v>46265.0</v>
      </c>
      <c r="AA75" s="39"/>
      <c r="AB75" s="38"/>
      <c r="AC75" s="38"/>
    </row>
    <row r="76" ht="14.25" customHeight="1">
      <c r="A76" s="39" t="s">
        <v>696</v>
      </c>
      <c r="B76" s="39" t="s">
        <v>778</v>
      </c>
      <c r="C76" s="39" t="s">
        <v>73</v>
      </c>
      <c r="D76" s="40" t="s">
        <v>779</v>
      </c>
      <c r="E76" s="39" t="s">
        <v>780</v>
      </c>
      <c r="F76" s="39" t="s">
        <v>76</v>
      </c>
      <c r="G76" s="39" t="s">
        <v>93</v>
      </c>
      <c r="H76" s="41" t="s">
        <v>696</v>
      </c>
      <c r="I76" s="41" t="s">
        <v>203</v>
      </c>
      <c r="J76" s="50" t="s">
        <v>78</v>
      </c>
      <c r="K76" s="41" t="s">
        <v>79</v>
      </c>
      <c r="L76" s="39" t="s">
        <v>781</v>
      </c>
      <c r="M76" s="39" t="s">
        <v>782</v>
      </c>
      <c r="N76" s="39" t="s">
        <v>783</v>
      </c>
      <c r="O76" s="40" t="s">
        <v>784</v>
      </c>
      <c r="P76" s="40"/>
      <c r="Q76" s="39"/>
      <c r="R76" s="43" t="s">
        <v>785</v>
      </c>
      <c r="S76" s="44" t="s">
        <v>786</v>
      </c>
      <c r="T76" s="61">
        <v>47043.0</v>
      </c>
      <c r="U76" s="41" t="s">
        <v>787</v>
      </c>
      <c r="V76" s="53">
        <v>9.88082333E8</v>
      </c>
      <c r="W76" s="60" t="s">
        <v>788</v>
      </c>
      <c r="X76" s="39"/>
      <c r="Y76" s="48"/>
      <c r="Z76" s="49">
        <v>46265.0</v>
      </c>
      <c r="AA76" s="39"/>
      <c r="AB76" s="38"/>
      <c r="AC76" s="38"/>
    </row>
    <row r="77" ht="14.25" customHeight="1">
      <c r="A77" s="39" t="s">
        <v>696</v>
      </c>
      <c r="B77" s="39" t="s">
        <v>778</v>
      </c>
      <c r="C77" s="39" t="s">
        <v>126</v>
      </c>
      <c r="D77" s="40" t="s">
        <v>789</v>
      </c>
      <c r="E77" s="39" t="s">
        <v>790</v>
      </c>
      <c r="F77" s="39" t="s">
        <v>76</v>
      </c>
      <c r="G77" s="39" t="s">
        <v>202</v>
      </c>
      <c r="H77" s="41" t="s">
        <v>696</v>
      </c>
      <c r="I77" s="41" t="s">
        <v>203</v>
      </c>
      <c r="J77" s="39" t="s">
        <v>129</v>
      </c>
      <c r="K77" s="39" t="s">
        <v>79</v>
      </c>
      <c r="L77" s="39" t="s">
        <v>791</v>
      </c>
      <c r="M77" s="39" t="s">
        <v>792</v>
      </c>
      <c r="N77" s="39"/>
      <c r="O77" s="40" t="s">
        <v>793</v>
      </c>
      <c r="P77" s="40"/>
      <c r="Q77" s="39"/>
      <c r="R77" s="43" t="s">
        <v>133</v>
      </c>
      <c r="S77" s="44" t="s">
        <v>86</v>
      </c>
      <c r="T77" s="48"/>
      <c r="U77" s="39"/>
      <c r="V77" s="48"/>
      <c r="W77" s="57"/>
      <c r="X77" s="39"/>
      <c r="Y77" s="48"/>
      <c r="Z77" s="49">
        <v>46265.0</v>
      </c>
      <c r="AA77" s="39"/>
      <c r="AB77" s="38"/>
      <c r="AC77" s="38"/>
    </row>
    <row r="78" ht="14.25" customHeight="1">
      <c r="A78" s="39" t="s">
        <v>696</v>
      </c>
      <c r="B78" s="39" t="s">
        <v>778</v>
      </c>
      <c r="C78" s="39" t="s">
        <v>73</v>
      </c>
      <c r="D78" s="40" t="s">
        <v>779</v>
      </c>
      <c r="E78" s="39" t="s">
        <v>794</v>
      </c>
      <c r="F78" s="39" t="s">
        <v>76</v>
      </c>
      <c r="G78" s="39" t="s">
        <v>77</v>
      </c>
      <c r="H78" s="41" t="s">
        <v>696</v>
      </c>
      <c r="I78" s="41" t="s">
        <v>73</v>
      </c>
      <c r="J78" s="50" t="s">
        <v>105</v>
      </c>
      <c r="K78" s="41" t="s">
        <v>79</v>
      </c>
      <c r="L78" s="39" t="s">
        <v>781</v>
      </c>
      <c r="M78" s="39" t="s">
        <v>795</v>
      </c>
      <c r="N78" s="39" t="s">
        <v>796</v>
      </c>
      <c r="O78" s="40" t="s">
        <v>784</v>
      </c>
      <c r="P78" s="40"/>
      <c r="Q78" s="39" t="s">
        <v>797</v>
      </c>
      <c r="R78" s="43"/>
      <c r="S78" s="44" t="s">
        <v>786</v>
      </c>
      <c r="T78" s="61">
        <v>47043.0</v>
      </c>
      <c r="U78" s="41" t="s">
        <v>798</v>
      </c>
      <c r="V78" s="53">
        <v>9.82032001E8</v>
      </c>
      <c r="W78" s="60" t="s">
        <v>799</v>
      </c>
      <c r="X78" s="41" t="s">
        <v>800</v>
      </c>
      <c r="Y78" s="55" t="s">
        <v>801</v>
      </c>
      <c r="Z78" s="49">
        <v>46265.0</v>
      </c>
      <c r="AA78" s="39"/>
      <c r="AB78" s="38"/>
      <c r="AC78" s="38"/>
    </row>
    <row r="79" ht="14.25" customHeight="1">
      <c r="A79" s="39" t="s">
        <v>696</v>
      </c>
      <c r="B79" s="39" t="s">
        <v>778</v>
      </c>
      <c r="C79" s="39" t="s">
        <v>73</v>
      </c>
      <c r="D79" s="40" t="s">
        <v>802</v>
      </c>
      <c r="E79" s="39" t="s">
        <v>803</v>
      </c>
      <c r="F79" s="39" t="s">
        <v>76</v>
      </c>
      <c r="G79" s="39" t="s">
        <v>77</v>
      </c>
      <c r="H79" s="41" t="s">
        <v>696</v>
      </c>
      <c r="I79" s="41" t="s">
        <v>73</v>
      </c>
      <c r="J79" s="42" t="s">
        <v>105</v>
      </c>
      <c r="K79" s="41" t="s">
        <v>79</v>
      </c>
      <c r="L79" s="39" t="s">
        <v>804</v>
      </c>
      <c r="M79" s="39" t="s">
        <v>639</v>
      </c>
      <c r="N79" s="39" t="s">
        <v>805</v>
      </c>
      <c r="O79" s="40" t="s">
        <v>806</v>
      </c>
      <c r="P79" s="40"/>
      <c r="Q79" s="39" t="s">
        <v>807</v>
      </c>
      <c r="R79" s="43" t="s">
        <v>808</v>
      </c>
      <c r="S79" s="44" t="s">
        <v>809</v>
      </c>
      <c r="T79" s="45">
        <v>47650.0</v>
      </c>
      <c r="U79" s="41" t="s">
        <v>810</v>
      </c>
      <c r="V79" s="53">
        <v>9.82080867E8</v>
      </c>
      <c r="W79" s="60" t="s">
        <v>811</v>
      </c>
      <c r="X79" s="39"/>
      <c r="Y79" s="48"/>
      <c r="Z79" s="49">
        <v>46265.0</v>
      </c>
      <c r="AA79" s="39"/>
      <c r="AB79" s="38"/>
      <c r="AC79" s="38"/>
    </row>
    <row r="80" ht="14.25" customHeight="1">
      <c r="A80" s="39" t="s">
        <v>696</v>
      </c>
      <c r="B80" s="39" t="s">
        <v>812</v>
      </c>
      <c r="C80" s="39" t="s">
        <v>126</v>
      </c>
      <c r="D80" s="40" t="s">
        <v>127</v>
      </c>
      <c r="E80" s="39" t="s">
        <v>813</v>
      </c>
      <c r="F80" s="39" t="s">
        <v>76</v>
      </c>
      <c r="G80" s="39" t="s">
        <v>93</v>
      </c>
      <c r="H80" s="41" t="s">
        <v>696</v>
      </c>
      <c r="I80" s="41" t="s">
        <v>203</v>
      </c>
      <c r="J80" s="39" t="s">
        <v>129</v>
      </c>
      <c r="K80" s="39" t="s">
        <v>79</v>
      </c>
      <c r="L80" s="39" t="s">
        <v>119</v>
      </c>
      <c r="M80" s="39" t="s">
        <v>814</v>
      </c>
      <c r="N80" s="39"/>
      <c r="O80" s="40" t="s">
        <v>815</v>
      </c>
      <c r="P80" s="40"/>
      <c r="Q80" s="39"/>
      <c r="R80" s="43" t="s">
        <v>133</v>
      </c>
      <c r="S80" s="44" t="s">
        <v>86</v>
      </c>
      <c r="T80" s="48"/>
      <c r="U80" s="39"/>
      <c r="V80" s="48"/>
      <c r="W80" s="57"/>
      <c r="X80" s="39"/>
      <c r="Y80" s="48"/>
      <c r="Z80" s="49">
        <v>46265.0</v>
      </c>
      <c r="AA80" s="39"/>
      <c r="AB80" s="38"/>
      <c r="AC80" s="38"/>
    </row>
    <row r="81" ht="14.25" customHeight="1">
      <c r="A81" s="39" t="s">
        <v>696</v>
      </c>
      <c r="B81" s="39" t="s">
        <v>812</v>
      </c>
      <c r="C81" s="39" t="s">
        <v>73</v>
      </c>
      <c r="D81" s="40" t="s">
        <v>816</v>
      </c>
      <c r="E81" s="39" t="s">
        <v>817</v>
      </c>
      <c r="F81" s="39" t="s">
        <v>76</v>
      </c>
      <c r="G81" s="39" t="s">
        <v>77</v>
      </c>
      <c r="H81" s="41" t="s">
        <v>696</v>
      </c>
      <c r="I81" s="41" t="s">
        <v>73</v>
      </c>
      <c r="J81" s="42" t="s">
        <v>105</v>
      </c>
      <c r="K81" s="41" t="s">
        <v>79</v>
      </c>
      <c r="L81" s="39" t="s">
        <v>230</v>
      </c>
      <c r="M81" s="39" t="s">
        <v>818</v>
      </c>
      <c r="N81" s="39"/>
      <c r="O81" s="40" t="s">
        <v>819</v>
      </c>
      <c r="P81" s="40"/>
      <c r="Q81" s="39" t="s">
        <v>820</v>
      </c>
      <c r="R81" s="43" t="s">
        <v>821</v>
      </c>
      <c r="S81" s="44" t="s">
        <v>822</v>
      </c>
      <c r="T81" s="61">
        <v>47776.0</v>
      </c>
      <c r="U81" s="41" t="s">
        <v>823</v>
      </c>
      <c r="V81" s="53">
        <v>9.81074041E8</v>
      </c>
      <c r="W81" s="60" t="s">
        <v>824</v>
      </c>
      <c r="X81" s="39"/>
      <c r="Y81" s="48"/>
      <c r="Z81" s="49">
        <v>46265.0</v>
      </c>
      <c r="AA81" s="39"/>
      <c r="AB81" s="38"/>
      <c r="AC81" s="38"/>
    </row>
    <row r="82" ht="14.25" customHeight="1">
      <c r="A82" s="39" t="s">
        <v>696</v>
      </c>
      <c r="B82" s="39" t="s">
        <v>812</v>
      </c>
      <c r="C82" s="39" t="s">
        <v>73</v>
      </c>
      <c r="D82" s="40" t="s">
        <v>825</v>
      </c>
      <c r="E82" s="39" t="s">
        <v>826</v>
      </c>
      <c r="F82" s="39" t="s">
        <v>76</v>
      </c>
      <c r="G82" s="39" t="s">
        <v>77</v>
      </c>
      <c r="H82" s="41" t="s">
        <v>696</v>
      </c>
      <c r="I82" s="41" t="s">
        <v>73</v>
      </c>
      <c r="J82" s="50" t="s">
        <v>105</v>
      </c>
      <c r="K82" s="41" t="s">
        <v>79</v>
      </c>
      <c r="L82" s="39" t="s">
        <v>827</v>
      </c>
      <c r="M82" s="39" t="s">
        <v>304</v>
      </c>
      <c r="N82" s="39" t="s">
        <v>828</v>
      </c>
      <c r="O82" s="40" t="s">
        <v>829</v>
      </c>
      <c r="P82" s="40"/>
      <c r="Q82" s="39" t="s">
        <v>830</v>
      </c>
      <c r="R82" s="43" t="s">
        <v>831</v>
      </c>
      <c r="S82" s="44" t="s">
        <v>832</v>
      </c>
      <c r="T82" s="45">
        <v>47287.0</v>
      </c>
      <c r="U82" s="41" t="s">
        <v>833</v>
      </c>
      <c r="V82" s="53">
        <v>9.89264318E8</v>
      </c>
      <c r="W82" s="60" t="s">
        <v>834</v>
      </c>
      <c r="X82" s="39"/>
      <c r="Y82" s="48"/>
      <c r="Z82" s="49">
        <v>46265.0</v>
      </c>
      <c r="AA82" s="39"/>
      <c r="AB82" s="38"/>
      <c r="AC82" s="38"/>
    </row>
    <row r="83" ht="14.25" customHeight="1">
      <c r="A83" s="39" t="s">
        <v>696</v>
      </c>
      <c r="B83" s="39" t="s">
        <v>835</v>
      </c>
      <c r="C83" s="39" t="s">
        <v>73</v>
      </c>
      <c r="D83" s="40" t="s">
        <v>836</v>
      </c>
      <c r="E83" s="39" t="s">
        <v>837</v>
      </c>
      <c r="F83" s="39" t="s">
        <v>76</v>
      </c>
      <c r="G83" s="39" t="s">
        <v>77</v>
      </c>
      <c r="H83" s="41" t="s">
        <v>696</v>
      </c>
      <c r="I83" s="41" t="s">
        <v>73</v>
      </c>
      <c r="J83" s="42" t="s">
        <v>105</v>
      </c>
      <c r="K83" s="41" t="s">
        <v>79</v>
      </c>
      <c r="L83" s="39" t="s">
        <v>838</v>
      </c>
      <c r="M83" s="39" t="s">
        <v>269</v>
      </c>
      <c r="N83" s="39" t="s">
        <v>839</v>
      </c>
      <c r="O83" s="40" t="s">
        <v>840</v>
      </c>
      <c r="P83" s="40"/>
      <c r="Q83" s="39" t="s">
        <v>841</v>
      </c>
      <c r="R83" s="43"/>
      <c r="S83" s="44" t="s">
        <v>842</v>
      </c>
      <c r="T83" s="61">
        <v>47835.0</v>
      </c>
      <c r="U83" s="41" t="s">
        <v>843</v>
      </c>
      <c r="V83" s="53">
        <v>9.83608116E8</v>
      </c>
      <c r="W83" s="54" t="s">
        <v>844</v>
      </c>
      <c r="X83" s="41" t="s">
        <v>845</v>
      </c>
      <c r="Y83" s="55" t="s">
        <v>846</v>
      </c>
      <c r="Z83" s="49">
        <v>46265.0</v>
      </c>
      <c r="AA83" s="39"/>
      <c r="AB83" s="38"/>
      <c r="AC83" s="38"/>
    </row>
    <row r="84" ht="14.25" customHeight="1">
      <c r="A84" s="39" t="s">
        <v>696</v>
      </c>
      <c r="B84" s="39" t="s">
        <v>835</v>
      </c>
      <c r="C84" s="39" t="s">
        <v>73</v>
      </c>
      <c r="D84" s="40" t="s">
        <v>847</v>
      </c>
      <c r="E84" s="39" t="s">
        <v>848</v>
      </c>
      <c r="F84" s="39" t="s">
        <v>76</v>
      </c>
      <c r="G84" s="39" t="s">
        <v>77</v>
      </c>
      <c r="H84" s="41" t="s">
        <v>696</v>
      </c>
      <c r="I84" s="41" t="s">
        <v>73</v>
      </c>
      <c r="J84" s="50" t="s">
        <v>192</v>
      </c>
      <c r="K84" s="41" t="s">
        <v>79</v>
      </c>
      <c r="L84" s="39" t="s">
        <v>849</v>
      </c>
      <c r="M84" s="39" t="s">
        <v>269</v>
      </c>
      <c r="N84" s="39" t="s">
        <v>850</v>
      </c>
      <c r="O84" s="40" t="s">
        <v>851</v>
      </c>
      <c r="P84" s="40"/>
      <c r="Q84" s="39" t="s">
        <v>852</v>
      </c>
      <c r="R84" s="43" t="s">
        <v>853</v>
      </c>
      <c r="S84" s="44" t="s">
        <v>854</v>
      </c>
      <c r="T84" s="45">
        <v>46854.0</v>
      </c>
      <c r="U84" s="41" t="s">
        <v>855</v>
      </c>
      <c r="V84" s="53">
        <v>9.87252756E8</v>
      </c>
      <c r="W84" s="60" t="s">
        <v>856</v>
      </c>
      <c r="X84" s="39"/>
      <c r="Y84" s="48"/>
      <c r="Z84" s="49">
        <v>46265.0</v>
      </c>
      <c r="AA84" s="39"/>
      <c r="AB84" s="38"/>
      <c r="AC84" s="38"/>
    </row>
    <row r="85" ht="14.25" customHeight="1">
      <c r="A85" s="39" t="s">
        <v>696</v>
      </c>
      <c r="B85" s="39" t="s">
        <v>857</v>
      </c>
      <c r="C85" s="39" t="s">
        <v>73</v>
      </c>
      <c r="D85" s="40" t="s">
        <v>858</v>
      </c>
      <c r="E85" s="39" t="s">
        <v>859</v>
      </c>
      <c r="F85" s="39" t="s">
        <v>76</v>
      </c>
      <c r="G85" s="39" t="s">
        <v>77</v>
      </c>
      <c r="H85" s="41" t="s">
        <v>696</v>
      </c>
      <c r="I85" s="41" t="s">
        <v>73</v>
      </c>
      <c r="J85" s="42" t="s">
        <v>105</v>
      </c>
      <c r="K85" s="41" t="s">
        <v>79</v>
      </c>
      <c r="L85" s="39" t="s">
        <v>860</v>
      </c>
      <c r="M85" s="39" t="s">
        <v>304</v>
      </c>
      <c r="N85" s="39" t="s">
        <v>861</v>
      </c>
      <c r="O85" s="40" t="s">
        <v>862</v>
      </c>
      <c r="P85" s="40"/>
      <c r="Q85" s="39" t="s">
        <v>863</v>
      </c>
      <c r="R85" s="43"/>
      <c r="S85" s="44" t="s">
        <v>864</v>
      </c>
      <c r="T85" s="45">
        <v>47965.0</v>
      </c>
      <c r="U85" s="41" t="s">
        <v>865</v>
      </c>
      <c r="V85" s="53">
        <v>9.81153691E8</v>
      </c>
      <c r="W85" s="60" t="s">
        <v>866</v>
      </c>
      <c r="X85" s="41" t="s">
        <v>867</v>
      </c>
      <c r="Y85" s="55" t="s">
        <v>868</v>
      </c>
      <c r="Z85" s="49">
        <v>46265.0</v>
      </c>
      <c r="AA85" s="39"/>
      <c r="AB85" s="38"/>
      <c r="AC85" s="38"/>
    </row>
    <row r="86" ht="14.25" customHeight="1">
      <c r="A86" s="39" t="s">
        <v>696</v>
      </c>
      <c r="B86" s="39" t="s">
        <v>857</v>
      </c>
      <c r="C86" s="39" t="s">
        <v>73</v>
      </c>
      <c r="D86" s="40" t="s">
        <v>869</v>
      </c>
      <c r="E86" s="39" t="s">
        <v>870</v>
      </c>
      <c r="F86" s="39" t="s">
        <v>76</v>
      </c>
      <c r="G86" s="39" t="s">
        <v>77</v>
      </c>
      <c r="H86" s="41" t="s">
        <v>696</v>
      </c>
      <c r="I86" s="41" t="s">
        <v>73</v>
      </c>
      <c r="J86" s="50" t="s">
        <v>105</v>
      </c>
      <c r="K86" s="41" t="s">
        <v>79</v>
      </c>
      <c r="L86" s="39" t="s">
        <v>871</v>
      </c>
      <c r="M86" s="39" t="s">
        <v>269</v>
      </c>
      <c r="N86" s="39" t="s">
        <v>872</v>
      </c>
      <c r="O86" s="40" t="s">
        <v>873</v>
      </c>
      <c r="P86" s="40"/>
      <c r="Q86" s="39" t="s">
        <v>874</v>
      </c>
      <c r="R86" s="43" t="s">
        <v>875</v>
      </c>
      <c r="S86" s="44" t="s">
        <v>86</v>
      </c>
      <c r="T86" s="48"/>
      <c r="U86" s="41" t="s">
        <v>876</v>
      </c>
      <c r="V86" s="53">
        <v>9.8246599E8</v>
      </c>
      <c r="W86" s="60" t="s">
        <v>877</v>
      </c>
      <c r="X86" s="39"/>
      <c r="Y86" s="48"/>
      <c r="Z86" s="49">
        <v>46265.0</v>
      </c>
      <c r="AA86" s="39"/>
      <c r="AB86" s="38"/>
      <c r="AC86" s="38"/>
    </row>
    <row r="87" ht="14.25" customHeight="1">
      <c r="A87" s="39" t="s">
        <v>696</v>
      </c>
      <c r="B87" s="39" t="s">
        <v>857</v>
      </c>
      <c r="C87" s="39" t="s">
        <v>73</v>
      </c>
      <c r="D87" s="40" t="s">
        <v>878</v>
      </c>
      <c r="E87" s="39" t="s">
        <v>879</v>
      </c>
      <c r="F87" s="39" t="s">
        <v>76</v>
      </c>
      <c r="G87" s="39" t="s">
        <v>77</v>
      </c>
      <c r="H87" s="41" t="s">
        <v>696</v>
      </c>
      <c r="I87" s="41" t="s">
        <v>73</v>
      </c>
      <c r="J87" s="42" t="s">
        <v>105</v>
      </c>
      <c r="K87" s="41" t="s">
        <v>79</v>
      </c>
      <c r="L87" s="39" t="s">
        <v>880</v>
      </c>
      <c r="M87" s="39" t="s">
        <v>881</v>
      </c>
      <c r="N87" s="39" t="s">
        <v>882</v>
      </c>
      <c r="O87" s="40" t="s">
        <v>883</v>
      </c>
      <c r="P87" s="40"/>
      <c r="Q87" s="39" t="s">
        <v>884</v>
      </c>
      <c r="R87" s="43"/>
      <c r="S87" s="44" t="s">
        <v>885</v>
      </c>
      <c r="T87" s="45">
        <v>47965.0</v>
      </c>
      <c r="U87" s="41" t="s">
        <v>886</v>
      </c>
      <c r="V87" s="55">
        <v>9.8146407E8</v>
      </c>
      <c r="W87" s="43" t="s">
        <v>887</v>
      </c>
      <c r="X87" s="41" t="s">
        <v>888</v>
      </c>
      <c r="Y87" s="55" t="s">
        <v>889</v>
      </c>
      <c r="Z87" s="49">
        <v>46265.0</v>
      </c>
      <c r="AA87" s="39"/>
      <c r="AB87" s="38"/>
      <c r="AC87" s="38"/>
    </row>
    <row r="88" ht="14.25" customHeight="1">
      <c r="A88" s="39" t="s">
        <v>696</v>
      </c>
      <c r="B88" s="39" t="s">
        <v>857</v>
      </c>
      <c r="C88" s="39" t="s">
        <v>73</v>
      </c>
      <c r="D88" s="40" t="s">
        <v>890</v>
      </c>
      <c r="E88" s="39" t="s">
        <v>891</v>
      </c>
      <c r="F88" s="39" t="s">
        <v>76</v>
      </c>
      <c r="G88" s="39" t="s">
        <v>77</v>
      </c>
      <c r="H88" s="41" t="s">
        <v>696</v>
      </c>
      <c r="I88" s="41" t="s">
        <v>73</v>
      </c>
      <c r="J88" s="50" t="s">
        <v>78</v>
      </c>
      <c r="K88" s="41" t="s">
        <v>79</v>
      </c>
      <c r="L88" s="39" t="s">
        <v>892</v>
      </c>
      <c r="M88" s="39" t="s">
        <v>532</v>
      </c>
      <c r="N88" s="39" t="s">
        <v>893</v>
      </c>
      <c r="O88" s="40" t="s">
        <v>894</v>
      </c>
      <c r="P88" s="40"/>
      <c r="Q88" s="39" t="s">
        <v>895</v>
      </c>
      <c r="R88" s="43" t="s">
        <v>896</v>
      </c>
      <c r="S88" s="44" t="s">
        <v>151</v>
      </c>
      <c r="T88" s="45" t="s">
        <v>897</v>
      </c>
      <c r="U88" s="44" t="s">
        <v>898</v>
      </c>
      <c r="V88" s="72">
        <v>9.93506675E8</v>
      </c>
      <c r="W88" s="60" t="s">
        <v>899</v>
      </c>
      <c r="X88" s="39"/>
      <c r="Y88" s="48"/>
      <c r="Z88" s="49">
        <v>46265.0</v>
      </c>
      <c r="AA88" s="39"/>
      <c r="AB88" s="38"/>
      <c r="AC88" s="38"/>
    </row>
    <row r="89" ht="14.25" customHeight="1">
      <c r="A89" s="39" t="s">
        <v>696</v>
      </c>
      <c r="B89" s="39" t="s">
        <v>900</v>
      </c>
      <c r="C89" s="39" t="s">
        <v>73</v>
      </c>
      <c r="D89" s="40" t="s">
        <v>901</v>
      </c>
      <c r="E89" s="39" t="s">
        <v>902</v>
      </c>
      <c r="F89" s="39" t="s">
        <v>76</v>
      </c>
      <c r="G89" s="39" t="s">
        <v>77</v>
      </c>
      <c r="H89" s="41" t="s">
        <v>696</v>
      </c>
      <c r="I89" s="41" t="s">
        <v>73</v>
      </c>
      <c r="J89" s="42" t="s">
        <v>105</v>
      </c>
      <c r="K89" s="41" t="s">
        <v>79</v>
      </c>
      <c r="L89" s="39" t="s">
        <v>903</v>
      </c>
      <c r="M89" s="39" t="s">
        <v>904</v>
      </c>
      <c r="N89" s="39" t="s">
        <v>905</v>
      </c>
      <c r="O89" s="40" t="s">
        <v>906</v>
      </c>
      <c r="P89" s="40"/>
      <c r="Q89" s="39" t="s">
        <v>907</v>
      </c>
      <c r="R89" s="43" t="s">
        <v>908</v>
      </c>
      <c r="S89" s="44" t="s">
        <v>909</v>
      </c>
      <c r="T89" s="61">
        <v>47413.0</v>
      </c>
      <c r="U89" s="41" t="s">
        <v>910</v>
      </c>
      <c r="V89" s="53">
        <v>9.88889459E8</v>
      </c>
      <c r="W89" s="60" t="s">
        <v>911</v>
      </c>
      <c r="X89" s="41" t="s">
        <v>912</v>
      </c>
      <c r="Y89" s="55" t="s">
        <v>913</v>
      </c>
      <c r="Z89" s="49">
        <v>46265.0</v>
      </c>
      <c r="AA89" s="39"/>
      <c r="AB89" s="38"/>
      <c r="AC89" s="38"/>
    </row>
    <row r="90" ht="14.25" customHeight="1">
      <c r="A90" s="39" t="s">
        <v>914</v>
      </c>
      <c r="B90" s="39" t="s">
        <v>915</v>
      </c>
      <c r="C90" s="39" t="s">
        <v>73</v>
      </c>
      <c r="D90" s="40" t="s">
        <v>916</v>
      </c>
      <c r="E90" s="39" t="s">
        <v>917</v>
      </c>
      <c r="F90" s="39" t="s">
        <v>76</v>
      </c>
      <c r="G90" s="39" t="s">
        <v>77</v>
      </c>
      <c r="H90" s="41" t="s">
        <v>914</v>
      </c>
      <c r="I90" s="41" t="s">
        <v>73</v>
      </c>
      <c r="J90" s="50" t="s">
        <v>78</v>
      </c>
      <c r="K90" s="41" t="s">
        <v>79</v>
      </c>
      <c r="L90" s="39" t="s">
        <v>918</v>
      </c>
      <c r="M90" s="39" t="s">
        <v>919</v>
      </c>
      <c r="N90" s="39"/>
      <c r="O90" s="40" t="s">
        <v>920</v>
      </c>
      <c r="P90" s="40"/>
      <c r="Q90" s="39" t="s">
        <v>921</v>
      </c>
      <c r="R90" s="43" t="s">
        <v>922</v>
      </c>
      <c r="S90" s="44" t="s">
        <v>151</v>
      </c>
      <c r="T90" s="45">
        <v>46273.0</v>
      </c>
      <c r="U90" s="41" t="s">
        <v>923</v>
      </c>
      <c r="V90" s="53">
        <v>9.81180492E8</v>
      </c>
      <c r="W90" s="60" t="s">
        <v>924</v>
      </c>
      <c r="X90" s="41" t="s">
        <v>925</v>
      </c>
      <c r="Y90" s="55" t="s">
        <v>926</v>
      </c>
      <c r="Z90" s="49">
        <v>46265.0</v>
      </c>
      <c r="AA90" s="39"/>
      <c r="AB90" s="38"/>
      <c r="AC90" s="38"/>
    </row>
    <row r="91" ht="14.25" customHeight="1">
      <c r="A91" s="39" t="s">
        <v>914</v>
      </c>
      <c r="B91" s="39" t="s">
        <v>927</v>
      </c>
      <c r="C91" s="39" t="s">
        <v>73</v>
      </c>
      <c r="D91" s="40" t="s">
        <v>928</v>
      </c>
      <c r="E91" s="39" t="s">
        <v>929</v>
      </c>
      <c r="F91" s="39" t="s">
        <v>76</v>
      </c>
      <c r="G91" s="39" t="s">
        <v>77</v>
      </c>
      <c r="H91" s="41" t="s">
        <v>914</v>
      </c>
      <c r="I91" s="41" t="s">
        <v>73</v>
      </c>
      <c r="J91" s="42" t="s">
        <v>145</v>
      </c>
      <c r="K91" s="41" t="s">
        <v>79</v>
      </c>
      <c r="L91" s="39" t="s">
        <v>930</v>
      </c>
      <c r="M91" s="39" t="s">
        <v>931</v>
      </c>
      <c r="N91" s="39" t="s">
        <v>932</v>
      </c>
      <c r="O91" s="40" t="s">
        <v>933</v>
      </c>
      <c r="P91" s="40"/>
      <c r="Q91" s="39" t="s">
        <v>934</v>
      </c>
      <c r="R91" s="43" t="s">
        <v>935</v>
      </c>
      <c r="S91" s="51" t="s">
        <v>936</v>
      </c>
      <c r="T91" s="70">
        <v>45294.0</v>
      </c>
      <c r="U91" s="41" t="s">
        <v>937</v>
      </c>
      <c r="V91" s="53">
        <v>9.81065291E8</v>
      </c>
      <c r="W91" s="60" t="s">
        <v>938</v>
      </c>
      <c r="X91" s="39"/>
      <c r="Y91" s="48"/>
      <c r="Z91" s="49">
        <v>46265.0</v>
      </c>
      <c r="AA91" s="39"/>
      <c r="AB91" s="38"/>
      <c r="AC91" s="38"/>
    </row>
    <row r="92" ht="14.25" customHeight="1">
      <c r="A92" s="39" t="s">
        <v>914</v>
      </c>
      <c r="B92" s="39" t="s">
        <v>927</v>
      </c>
      <c r="C92" s="39" t="s">
        <v>73</v>
      </c>
      <c r="D92" s="40" t="s">
        <v>939</v>
      </c>
      <c r="E92" s="39" t="s">
        <v>940</v>
      </c>
      <c r="F92" s="39" t="s">
        <v>76</v>
      </c>
      <c r="G92" s="39" t="s">
        <v>77</v>
      </c>
      <c r="H92" s="41" t="s">
        <v>914</v>
      </c>
      <c r="I92" s="41" t="s">
        <v>73</v>
      </c>
      <c r="J92" s="50" t="s">
        <v>105</v>
      </c>
      <c r="K92" s="41" t="s">
        <v>79</v>
      </c>
      <c r="L92" s="39" t="s">
        <v>941</v>
      </c>
      <c r="M92" s="39" t="s">
        <v>942</v>
      </c>
      <c r="N92" s="39" t="s">
        <v>943</v>
      </c>
      <c r="O92" s="40" t="s">
        <v>944</v>
      </c>
      <c r="P92" s="40"/>
      <c r="Q92" s="39" t="s">
        <v>945</v>
      </c>
      <c r="R92" s="43"/>
      <c r="S92" s="51" t="s">
        <v>946</v>
      </c>
      <c r="T92" s="70">
        <v>44886.0</v>
      </c>
      <c r="U92" s="41" t="s">
        <v>947</v>
      </c>
      <c r="V92" s="55"/>
      <c r="W92" s="57"/>
      <c r="X92" s="41" t="s">
        <v>948</v>
      </c>
      <c r="Y92" s="55" t="s">
        <v>949</v>
      </c>
      <c r="Z92" s="49">
        <v>46265.0</v>
      </c>
      <c r="AA92" s="39"/>
      <c r="AB92" s="38"/>
      <c r="AC92" s="38"/>
    </row>
    <row r="93" ht="14.25" customHeight="1">
      <c r="A93" s="39" t="s">
        <v>914</v>
      </c>
      <c r="B93" s="39" t="s">
        <v>927</v>
      </c>
      <c r="C93" s="39" t="s">
        <v>73</v>
      </c>
      <c r="D93" s="40" t="s">
        <v>950</v>
      </c>
      <c r="E93" s="39" t="s">
        <v>951</v>
      </c>
      <c r="F93" s="39" t="s">
        <v>76</v>
      </c>
      <c r="G93" s="39" t="s">
        <v>77</v>
      </c>
      <c r="H93" s="41" t="s">
        <v>914</v>
      </c>
      <c r="I93" s="41" t="s">
        <v>73</v>
      </c>
      <c r="J93" s="42" t="s">
        <v>105</v>
      </c>
      <c r="K93" s="41" t="s">
        <v>79</v>
      </c>
      <c r="L93" s="39" t="s">
        <v>952</v>
      </c>
      <c r="M93" s="39" t="s">
        <v>269</v>
      </c>
      <c r="N93" s="39" t="s">
        <v>953</v>
      </c>
      <c r="O93" s="40" t="s">
        <v>954</v>
      </c>
      <c r="P93" s="40"/>
      <c r="Q93" s="39" t="s">
        <v>955</v>
      </c>
      <c r="R93" s="43"/>
      <c r="S93" s="44" t="s">
        <v>956</v>
      </c>
      <c r="T93" s="61">
        <v>47835.0</v>
      </c>
      <c r="U93" s="41" t="s">
        <v>957</v>
      </c>
      <c r="V93" s="53">
        <v>9.86060194E8</v>
      </c>
      <c r="W93" s="60" t="s">
        <v>958</v>
      </c>
      <c r="X93" s="41" t="s">
        <v>959</v>
      </c>
      <c r="Y93" s="55" t="s">
        <v>960</v>
      </c>
      <c r="Z93" s="49">
        <v>46265.0</v>
      </c>
      <c r="AA93" s="39"/>
      <c r="AB93" s="38"/>
      <c r="AC93" s="38"/>
    </row>
    <row r="94" ht="14.25" customHeight="1">
      <c r="A94" s="39" t="s">
        <v>914</v>
      </c>
      <c r="B94" s="39" t="s">
        <v>927</v>
      </c>
      <c r="C94" s="39" t="s">
        <v>73</v>
      </c>
      <c r="D94" s="40" t="s">
        <v>961</v>
      </c>
      <c r="E94" s="39" t="s">
        <v>962</v>
      </c>
      <c r="F94" s="39" t="s">
        <v>76</v>
      </c>
      <c r="G94" s="39" t="s">
        <v>77</v>
      </c>
      <c r="H94" s="41" t="s">
        <v>914</v>
      </c>
      <c r="I94" s="41" t="s">
        <v>73</v>
      </c>
      <c r="J94" s="50" t="s">
        <v>105</v>
      </c>
      <c r="K94" s="41" t="s">
        <v>79</v>
      </c>
      <c r="L94" s="39" t="s">
        <v>941</v>
      </c>
      <c r="M94" s="39" t="s">
        <v>963</v>
      </c>
      <c r="N94" s="39" t="s">
        <v>964</v>
      </c>
      <c r="O94" s="40" t="s">
        <v>965</v>
      </c>
      <c r="P94" s="40"/>
      <c r="Q94" s="39" t="s">
        <v>966</v>
      </c>
      <c r="R94" s="43"/>
      <c r="S94" s="51" t="s">
        <v>967</v>
      </c>
      <c r="T94" s="70">
        <v>44998.0</v>
      </c>
      <c r="U94" s="41" t="s">
        <v>968</v>
      </c>
      <c r="V94" s="55">
        <v>9.89892905E8</v>
      </c>
      <c r="W94" s="57"/>
      <c r="X94" s="41" t="s">
        <v>969</v>
      </c>
      <c r="Y94" s="55" t="s">
        <v>970</v>
      </c>
      <c r="Z94" s="49">
        <v>46265.0</v>
      </c>
      <c r="AA94" s="39"/>
      <c r="AB94" s="38"/>
      <c r="AC94" s="38"/>
    </row>
    <row r="95" ht="14.25" customHeight="1">
      <c r="A95" s="39" t="s">
        <v>914</v>
      </c>
      <c r="B95" s="39" t="s">
        <v>971</v>
      </c>
      <c r="C95" s="39" t="s">
        <v>73</v>
      </c>
      <c r="D95" s="40" t="s">
        <v>972</v>
      </c>
      <c r="E95" s="39" t="s">
        <v>973</v>
      </c>
      <c r="F95" s="39" t="s">
        <v>76</v>
      </c>
      <c r="G95" s="39" t="s">
        <v>77</v>
      </c>
      <c r="H95" s="41" t="s">
        <v>914</v>
      </c>
      <c r="I95" s="41" t="s">
        <v>73</v>
      </c>
      <c r="J95" s="42" t="s">
        <v>78</v>
      </c>
      <c r="K95" s="41" t="s">
        <v>79</v>
      </c>
      <c r="L95" s="39" t="s">
        <v>974</v>
      </c>
      <c r="M95" s="39" t="s">
        <v>975</v>
      </c>
      <c r="N95" s="39" t="s">
        <v>976</v>
      </c>
      <c r="O95" s="40" t="s">
        <v>977</v>
      </c>
      <c r="P95" s="40"/>
      <c r="Q95" s="39" t="s">
        <v>978</v>
      </c>
      <c r="R95" s="43" t="s">
        <v>979</v>
      </c>
      <c r="S95" s="44" t="s">
        <v>980</v>
      </c>
      <c r="T95" s="61">
        <v>47078.0</v>
      </c>
      <c r="U95" s="41" t="s">
        <v>981</v>
      </c>
      <c r="V95" s="53">
        <v>9.81995496E8</v>
      </c>
      <c r="W95" s="60" t="s">
        <v>982</v>
      </c>
      <c r="X95" s="39"/>
      <c r="Y95" s="48"/>
      <c r="Z95" s="49">
        <v>46265.0</v>
      </c>
      <c r="AA95" s="39"/>
      <c r="AB95" s="38"/>
      <c r="AC95" s="38"/>
    </row>
    <row r="96" ht="14.25" customHeight="1">
      <c r="A96" s="39" t="s">
        <v>914</v>
      </c>
      <c r="B96" s="39" t="s">
        <v>971</v>
      </c>
      <c r="C96" s="39" t="s">
        <v>73</v>
      </c>
      <c r="D96" s="40" t="s">
        <v>983</v>
      </c>
      <c r="E96" s="39" t="s">
        <v>984</v>
      </c>
      <c r="F96" s="39" t="s">
        <v>76</v>
      </c>
      <c r="G96" s="39" t="s">
        <v>77</v>
      </c>
      <c r="H96" s="41" t="s">
        <v>914</v>
      </c>
      <c r="I96" s="41" t="s">
        <v>73</v>
      </c>
      <c r="J96" s="50" t="s">
        <v>192</v>
      </c>
      <c r="K96" s="41" t="s">
        <v>79</v>
      </c>
      <c r="L96" s="39" t="s">
        <v>985</v>
      </c>
      <c r="M96" s="39" t="s">
        <v>986</v>
      </c>
      <c r="N96" s="39"/>
      <c r="O96" s="40" t="s">
        <v>987</v>
      </c>
      <c r="P96" s="40"/>
      <c r="Q96" s="39" t="s">
        <v>988</v>
      </c>
      <c r="R96" s="43" t="s">
        <v>989</v>
      </c>
      <c r="S96" s="44" t="s">
        <v>151</v>
      </c>
      <c r="T96" s="45">
        <v>46273.0</v>
      </c>
      <c r="U96" s="41" t="s">
        <v>990</v>
      </c>
      <c r="V96" s="53">
        <v>9.81192665E8</v>
      </c>
      <c r="W96" s="60" t="s">
        <v>991</v>
      </c>
      <c r="X96" s="39"/>
      <c r="Y96" s="48"/>
      <c r="Z96" s="49">
        <v>46265.0</v>
      </c>
      <c r="AA96" s="39"/>
      <c r="AB96" s="38"/>
      <c r="AC96" s="38"/>
    </row>
    <row r="97" ht="14.25" customHeight="1">
      <c r="A97" s="39" t="s">
        <v>914</v>
      </c>
      <c r="B97" s="39" t="s">
        <v>971</v>
      </c>
      <c r="C97" s="39" t="s">
        <v>73</v>
      </c>
      <c r="D97" s="40" t="s">
        <v>992</v>
      </c>
      <c r="E97" s="41" t="s">
        <v>993</v>
      </c>
      <c r="F97" s="39" t="s">
        <v>76</v>
      </c>
      <c r="G97" s="39" t="s">
        <v>77</v>
      </c>
      <c r="H97" s="41" t="s">
        <v>914</v>
      </c>
      <c r="I97" s="41" t="s">
        <v>73</v>
      </c>
      <c r="J97" s="42" t="s">
        <v>105</v>
      </c>
      <c r="K97" s="41" t="s">
        <v>79</v>
      </c>
      <c r="L97" s="39" t="s">
        <v>941</v>
      </c>
      <c r="M97" s="39" t="s">
        <v>994</v>
      </c>
      <c r="N97" s="39" t="s">
        <v>995</v>
      </c>
      <c r="O97" s="40" t="s">
        <v>996</v>
      </c>
      <c r="P97" s="40"/>
      <c r="Q97" s="39" t="s">
        <v>997</v>
      </c>
      <c r="R97" s="43" t="s">
        <v>998</v>
      </c>
      <c r="S97" s="44" t="s">
        <v>999</v>
      </c>
      <c r="T97" s="45">
        <v>46924.0</v>
      </c>
      <c r="U97" s="41" t="s">
        <v>1000</v>
      </c>
      <c r="V97" s="53">
        <v>9.8114394E8</v>
      </c>
      <c r="W97" s="60" t="s">
        <v>1001</v>
      </c>
      <c r="X97" s="39"/>
      <c r="Y97" s="48"/>
      <c r="Z97" s="49">
        <v>46265.0</v>
      </c>
      <c r="AA97" s="39"/>
      <c r="AB97" s="38"/>
      <c r="AC97" s="38"/>
    </row>
    <row r="98" ht="14.25" customHeight="1">
      <c r="A98" s="39" t="s">
        <v>914</v>
      </c>
      <c r="B98" s="39" t="s">
        <v>90</v>
      </c>
      <c r="C98" s="39" t="s">
        <v>126</v>
      </c>
      <c r="D98" s="40" t="s">
        <v>1002</v>
      </c>
      <c r="E98" s="39" t="s">
        <v>1003</v>
      </c>
      <c r="F98" s="39" t="s">
        <v>76</v>
      </c>
      <c r="G98" s="39" t="s">
        <v>202</v>
      </c>
      <c r="H98" s="41" t="s">
        <v>914</v>
      </c>
      <c r="I98" s="39" t="s">
        <v>203</v>
      </c>
      <c r="J98" s="39" t="s">
        <v>129</v>
      </c>
      <c r="K98" s="39" t="s">
        <v>79</v>
      </c>
      <c r="L98" s="39" t="s">
        <v>1004</v>
      </c>
      <c r="M98" s="39" t="s">
        <v>1005</v>
      </c>
      <c r="N98" s="39"/>
      <c r="O98" s="40" t="s">
        <v>1006</v>
      </c>
      <c r="P98" s="40" t="s">
        <v>1007</v>
      </c>
      <c r="Q98" s="39"/>
      <c r="R98" s="43" t="s">
        <v>133</v>
      </c>
      <c r="S98" s="51" t="s">
        <v>1008</v>
      </c>
      <c r="T98" s="70">
        <v>46073.0</v>
      </c>
      <c r="U98" s="39"/>
      <c r="V98" s="48"/>
      <c r="W98" s="57"/>
      <c r="X98" s="39"/>
      <c r="Y98" s="48"/>
      <c r="Z98" s="49">
        <v>46265.0</v>
      </c>
      <c r="AA98" s="39"/>
      <c r="AB98" s="38"/>
      <c r="AC98" s="38"/>
    </row>
    <row r="99" ht="14.25" customHeight="1">
      <c r="A99" s="39" t="s">
        <v>914</v>
      </c>
      <c r="B99" s="39" t="s">
        <v>90</v>
      </c>
      <c r="C99" s="39" t="s">
        <v>126</v>
      </c>
      <c r="D99" s="40" t="s">
        <v>1009</v>
      </c>
      <c r="E99" s="39" t="s">
        <v>1010</v>
      </c>
      <c r="F99" s="39" t="s">
        <v>76</v>
      </c>
      <c r="G99" s="39" t="s">
        <v>202</v>
      </c>
      <c r="H99" s="41" t="s">
        <v>914</v>
      </c>
      <c r="I99" s="39" t="s">
        <v>203</v>
      </c>
      <c r="J99" s="39" t="s">
        <v>129</v>
      </c>
      <c r="K99" s="39" t="s">
        <v>79</v>
      </c>
      <c r="L99" s="39" t="s">
        <v>1011</v>
      </c>
      <c r="M99" s="39" t="s">
        <v>1012</v>
      </c>
      <c r="N99" s="39"/>
      <c r="O99" s="40" t="s">
        <v>1013</v>
      </c>
      <c r="P99" s="40" t="s">
        <v>1014</v>
      </c>
      <c r="Q99" s="39"/>
      <c r="R99" s="43" t="s">
        <v>133</v>
      </c>
      <c r="S99" s="51" t="s">
        <v>1015</v>
      </c>
      <c r="T99" s="70">
        <v>46156.0</v>
      </c>
      <c r="U99" s="39"/>
      <c r="V99" s="48"/>
      <c r="W99" s="57"/>
      <c r="X99" s="39"/>
      <c r="Y99" s="48"/>
      <c r="Z99" s="49">
        <v>46265.0</v>
      </c>
      <c r="AA99" s="39"/>
      <c r="AB99" s="38"/>
      <c r="AC99" s="38"/>
    </row>
    <row r="100" ht="14.25" customHeight="1">
      <c r="A100" s="39" t="s">
        <v>914</v>
      </c>
      <c r="B100" s="39" t="s">
        <v>90</v>
      </c>
      <c r="C100" s="39" t="s">
        <v>126</v>
      </c>
      <c r="D100" s="40" t="s">
        <v>1016</v>
      </c>
      <c r="E100" s="39" t="s">
        <v>1017</v>
      </c>
      <c r="F100" s="39" t="s">
        <v>76</v>
      </c>
      <c r="G100" s="39" t="s">
        <v>202</v>
      </c>
      <c r="H100" s="41" t="s">
        <v>914</v>
      </c>
      <c r="I100" s="39" t="s">
        <v>203</v>
      </c>
      <c r="J100" s="39" t="s">
        <v>129</v>
      </c>
      <c r="K100" s="39" t="s">
        <v>79</v>
      </c>
      <c r="L100" s="39" t="s">
        <v>1018</v>
      </c>
      <c r="M100" s="39" t="s">
        <v>1019</v>
      </c>
      <c r="N100" s="39"/>
      <c r="O100" s="40" t="s">
        <v>1020</v>
      </c>
      <c r="P100" s="40" t="s">
        <v>1021</v>
      </c>
      <c r="Q100" s="39"/>
      <c r="R100" s="43" t="s">
        <v>133</v>
      </c>
      <c r="S100" s="51" t="s">
        <v>1022</v>
      </c>
      <c r="T100" s="70">
        <v>45708.0</v>
      </c>
      <c r="U100" s="39"/>
      <c r="V100" s="48"/>
      <c r="W100" s="57"/>
      <c r="X100" s="39"/>
      <c r="Y100" s="48"/>
      <c r="Z100" s="49">
        <v>46265.0</v>
      </c>
      <c r="AA100" s="39"/>
      <c r="AB100" s="38"/>
      <c r="AC100" s="38"/>
    </row>
    <row r="101" ht="14.25" customHeight="1">
      <c r="A101" s="39" t="s">
        <v>914</v>
      </c>
      <c r="B101" s="39" t="s">
        <v>90</v>
      </c>
      <c r="C101" s="39" t="s">
        <v>73</v>
      </c>
      <c r="D101" s="40" t="s">
        <v>1023</v>
      </c>
      <c r="E101" s="39" t="s">
        <v>1024</v>
      </c>
      <c r="F101" s="39" t="s">
        <v>76</v>
      </c>
      <c r="G101" s="39" t="s">
        <v>77</v>
      </c>
      <c r="H101" s="41" t="s">
        <v>914</v>
      </c>
      <c r="I101" s="41" t="s">
        <v>73</v>
      </c>
      <c r="J101" s="42" t="s">
        <v>105</v>
      </c>
      <c r="K101" s="41" t="s">
        <v>79</v>
      </c>
      <c r="L101" s="39" t="s">
        <v>1025</v>
      </c>
      <c r="M101" s="39" t="s">
        <v>269</v>
      </c>
      <c r="N101" s="39" t="s">
        <v>1026</v>
      </c>
      <c r="O101" s="40" t="s">
        <v>1027</v>
      </c>
      <c r="P101" s="40"/>
      <c r="Q101" s="39" t="s">
        <v>1028</v>
      </c>
      <c r="R101" s="43"/>
      <c r="S101" s="44" t="s">
        <v>1029</v>
      </c>
      <c r="T101" s="45">
        <v>46924.0</v>
      </c>
      <c r="U101" s="42" t="s">
        <v>1030</v>
      </c>
      <c r="V101" s="56">
        <v>9.85529484E8</v>
      </c>
      <c r="W101" s="57"/>
      <c r="X101" s="41" t="s">
        <v>1031</v>
      </c>
      <c r="Y101" s="55" t="s">
        <v>1032</v>
      </c>
      <c r="Z101" s="49">
        <v>46265.0</v>
      </c>
      <c r="AA101" s="39"/>
      <c r="AB101" s="38"/>
      <c r="AC101" s="38"/>
    </row>
    <row r="102" ht="14.25" customHeight="1">
      <c r="A102" s="39" t="s">
        <v>914</v>
      </c>
      <c r="B102" s="39" t="s">
        <v>90</v>
      </c>
      <c r="C102" s="39" t="s">
        <v>73</v>
      </c>
      <c r="D102" s="40" t="s">
        <v>1033</v>
      </c>
      <c r="E102" s="39" t="s">
        <v>1034</v>
      </c>
      <c r="F102" s="39" t="s">
        <v>76</v>
      </c>
      <c r="G102" s="39" t="s">
        <v>77</v>
      </c>
      <c r="H102" s="41" t="s">
        <v>914</v>
      </c>
      <c r="I102" s="41" t="s">
        <v>73</v>
      </c>
      <c r="J102" s="50" t="s">
        <v>78</v>
      </c>
      <c r="K102" s="41" t="s">
        <v>79</v>
      </c>
      <c r="L102" s="39" t="s">
        <v>1035</v>
      </c>
      <c r="M102" s="39" t="s">
        <v>1036</v>
      </c>
      <c r="N102" s="39" t="s">
        <v>1037</v>
      </c>
      <c r="O102" s="40" t="s">
        <v>1038</v>
      </c>
      <c r="P102" s="40"/>
      <c r="Q102" s="39" t="s">
        <v>1039</v>
      </c>
      <c r="R102" s="43" t="s">
        <v>1040</v>
      </c>
      <c r="S102" s="44" t="s">
        <v>86</v>
      </c>
      <c r="T102" s="48"/>
      <c r="U102" s="41" t="s">
        <v>1041</v>
      </c>
      <c r="V102" s="53">
        <v>9.9197252E8</v>
      </c>
      <c r="W102" s="60" t="s">
        <v>1042</v>
      </c>
      <c r="X102" s="41" t="s">
        <v>1043</v>
      </c>
      <c r="Y102" s="55" t="s">
        <v>1044</v>
      </c>
      <c r="Z102" s="49">
        <v>46265.0</v>
      </c>
      <c r="AA102" s="39"/>
      <c r="AB102" s="38"/>
      <c r="AC102" s="38"/>
    </row>
    <row r="103" ht="14.25" customHeight="1">
      <c r="A103" s="39" t="s">
        <v>914</v>
      </c>
      <c r="B103" s="39" t="s">
        <v>90</v>
      </c>
      <c r="C103" s="39" t="s">
        <v>73</v>
      </c>
      <c r="D103" s="40" t="s">
        <v>1045</v>
      </c>
      <c r="E103" s="39" t="s">
        <v>1046</v>
      </c>
      <c r="F103" s="39" t="s">
        <v>76</v>
      </c>
      <c r="G103" s="39" t="s">
        <v>77</v>
      </c>
      <c r="H103" s="41" t="s">
        <v>914</v>
      </c>
      <c r="I103" s="41" t="s">
        <v>73</v>
      </c>
      <c r="J103" s="42" t="s">
        <v>105</v>
      </c>
      <c r="K103" s="41" t="s">
        <v>79</v>
      </c>
      <c r="L103" s="39" t="s">
        <v>1047</v>
      </c>
      <c r="M103" s="39" t="s">
        <v>1048</v>
      </c>
      <c r="N103" s="39" t="s">
        <v>1049</v>
      </c>
      <c r="O103" s="40" t="s">
        <v>1050</v>
      </c>
      <c r="P103" s="40"/>
      <c r="Q103" s="39" t="s">
        <v>1051</v>
      </c>
      <c r="R103" s="43"/>
      <c r="S103" s="44" t="s">
        <v>1052</v>
      </c>
      <c r="T103" s="45">
        <v>47252.0</v>
      </c>
      <c r="U103" s="41" t="s">
        <v>1053</v>
      </c>
      <c r="V103" s="53">
        <v>9.80712262E8</v>
      </c>
      <c r="W103" s="60" t="s">
        <v>1054</v>
      </c>
      <c r="X103" s="41" t="s">
        <v>1055</v>
      </c>
      <c r="Y103" s="55" t="s">
        <v>1056</v>
      </c>
      <c r="Z103" s="49">
        <v>46265.0</v>
      </c>
      <c r="AA103" s="39"/>
      <c r="AB103" s="38"/>
      <c r="AC103" s="38"/>
    </row>
    <row r="104" ht="14.25" customHeight="1">
      <c r="A104" s="39" t="s">
        <v>914</v>
      </c>
      <c r="B104" s="39" t="s">
        <v>90</v>
      </c>
      <c r="C104" s="39" t="s">
        <v>73</v>
      </c>
      <c r="D104" s="40" t="s">
        <v>1057</v>
      </c>
      <c r="E104" s="39" t="s">
        <v>1058</v>
      </c>
      <c r="F104" s="39" t="s">
        <v>76</v>
      </c>
      <c r="G104" s="39" t="s">
        <v>77</v>
      </c>
      <c r="H104" s="41" t="s">
        <v>914</v>
      </c>
      <c r="I104" s="41" t="s">
        <v>73</v>
      </c>
      <c r="J104" s="50" t="s">
        <v>78</v>
      </c>
      <c r="K104" s="41" t="s">
        <v>79</v>
      </c>
      <c r="L104" s="39" t="s">
        <v>1004</v>
      </c>
      <c r="M104" s="39" t="s">
        <v>1059</v>
      </c>
      <c r="N104" s="39" t="s">
        <v>1060</v>
      </c>
      <c r="O104" s="40" t="s">
        <v>1006</v>
      </c>
      <c r="P104" s="40"/>
      <c r="Q104" s="39" t="s">
        <v>1061</v>
      </c>
      <c r="R104" s="43"/>
      <c r="S104" s="51" t="s">
        <v>1062</v>
      </c>
      <c r="T104" s="52">
        <v>45195.0</v>
      </c>
      <c r="U104" s="41" t="s">
        <v>1063</v>
      </c>
      <c r="V104" s="55">
        <v>9.89267227E8</v>
      </c>
      <c r="W104" s="57"/>
      <c r="X104" s="39"/>
      <c r="Y104" s="48"/>
      <c r="Z104" s="49">
        <v>46265.0</v>
      </c>
      <c r="AA104" s="39"/>
      <c r="AB104" s="38"/>
      <c r="AC104" s="38"/>
    </row>
    <row r="105" ht="14.25" customHeight="1">
      <c r="A105" s="39" t="s">
        <v>914</v>
      </c>
      <c r="B105" s="39" t="s">
        <v>90</v>
      </c>
      <c r="C105" s="39" t="s">
        <v>73</v>
      </c>
      <c r="D105" s="40" t="s">
        <v>1064</v>
      </c>
      <c r="E105" s="39" t="s">
        <v>1065</v>
      </c>
      <c r="F105" s="39" t="s">
        <v>76</v>
      </c>
      <c r="G105" s="39" t="s">
        <v>77</v>
      </c>
      <c r="H105" s="41" t="s">
        <v>914</v>
      </c>
      <c r="I105" s="41" t="s">
        <v>73</v>
      </c>
      <c r="J105" s="42" t="s">
        <v>105</v>
      </c>
      <c r="K105" s="41" t="s">
        <v>79</v>
      </c>
      <c r="L105" s="39" t="s">
        <v>1047</v>
      </c>
      <c r="M105" s="39" t="s">
        <v>1066</v>
      </c>
      <c r="N105" s="39" t="s">
        <v>1067</v>
      </c>
      <c r="O105" s="40" t="s">
        <v>1050</v>
      </c>
      <c r="P105" s="40"/>
      <c r="Q105" s="39" t="s">
        <v>1068</v>
      </c>
      <c r="R105" s="43"/>
      <c r="S105" s="51" t="s">
        <v>1069</v>
      </c>
      <c r="T105" s="70">
        <v>44900.0</v>
      </c>
      <c r="U105" s="41" t="s">
        <v>1070</v>
      </c>
      <c r="V105" s="53">
        <v>9.88240906E8</v>
      </c>
      <c r="W105" s="60" t="s">
        <v>1071</v>
      </c>
      <c r="X105" s="41" t="s">
        <v>1072</v>
      </c>
      <c r="Y105" s="55" t="s">
        <v>1073</v>
      </c>
      <c r="Z105" s="49">
        <v>46265.0</v>
      </c>
      <c r="AA105" s="39"/>
      <c r="AB105" s="38"/>
      <c r="AC105" s="38"/>
    </row>
    <row r="106" ht="14.25" customHeight="1">
      <c r="A106" s="39" t="s">
        <v>914</v>
      </c>
      <c r="B106" s="39" t="s">
        <v>90</v>
      </c>
      <c r="C106" s="39" t="s">
        <v>73</v>
      </c>
      <c r="D106" s="40" t="s">
        <v>1074</v>
      </c>
      <c r="E106" s="39" t="s">
        <v>1075</v>
      </c>
      <c r="F106" s="39" t="s">
        <v>76</v>
      </c>
      <c r="G106" s="39" t="s">
        <v>77</v>
      </c>
      <c r="H106" s="41" t="s">
        <v>914</v>
      </c>
      <c r="I106" s="41" t="s">
        <v>73</v>
      </c>
      <c r="J106" s="50" t="s">
        <v>105</v>
      </c>
      <c r="K106" s="41" t="s">
        <v>79</v>
      </c>
      <c r="L106" s="39" t="s">
        <v>1076</v>
      </c>
      <c r="M106" s="39" t="s">
        <v>1077</v>
      </c>
      <c r="N106" s="39" t="s">
        <v>1078</v>
      </c>
      <c r="O106" s="40" t="s">
        <v>1079</v>
      </c>
      <c r="P106" s="40"/>
      <c r="Q106" s="39" t="s">
        <v>1080</v>
      </c>
      <c r="R106" s="43" t="s">
        <v>1081</v>
      </c>
      <c r="S106" s="44" t="s">
        <v>86</v>
      </c>
      <c r="T106" s="48"/>
      <c r="U106" s="41" t="s">
        <v>1082</v>
      </c>
      <c r="V106" s="53">
        <v>9.88417364E8</v>
      </c>
      <c r="W106" s="60" t="s">
        <v>1083</v>
      </c>
      <c r="X106" s="39"/>
      <c r="Y106" s="48"/>
      <c r="Z106" s="49">
        <v>46265.0</v>
      </c>
      <c r="AA106" s="39"/>
      <c r="AB106" s="38"/>
      <c r="AC106" s="38"/>
    </row>
    <row r="107" ht="14.25" customHeight="1">
      <c r="A107" s="39" t="s">
        <v>914</v>
      </c>
      <c r="B107" s="39" t="s">
        <v>90</v>
      </c>
      <c r="C107" s="39" t="s">
        <v>73</v>
      </c>
      <c r="D107" s="40" t="s">
        <v>1084</v>
      </c>
      <c r="E107" s="39" t="s">
        <v>1085</v>
      </c>
      <c r="F107" s="39" t="s">
        <v>76</v>
      </c>
      <c r="G107" s="39" t="s">
        <v>77</v>
      </c>
      <c r="H107" s="41" t="s">
        <v>914</v>
      </c>
      <c r="I107" s="41" t="s">
        <v>73</v>
      </c>
      <c r="J107" s="42" t="s">
        <v>78</v>
      </c>
      <c r="K107" s="41" t="s">
        <v>79</v>
      </c>
      <c r="L107" s="39" t="s">
        <v>1086</v>
      </c>
      <c r="M107" s="39" t="s">
        <v>1087</v>
      </c>
      <c r="N107" s="39"/>
      <c r="O107" s="40" t="s">
        <v>1088</v>
      </c>
      <c r="P107" s="40"/>
      <c r="Q107" s="39" t="s">
        <v>1089</v>
      </c>
      <c r="R107" s="43" t="s">
        <v>1090</v>
      </c>
      <c r="S107" s="44" t="s">
        <v>151</v>
      </c>
      <c r="T107" s="45">
        <v>46273.0</v>
      </c>
      <c r="U107" s="41" t="s">
        <v>1091</v>
      </c>
      <c r="V107" s="53">
        <v>9.844440879E9</v>
      </c>
      <c r="W107" s="60" t="s">
        <v>1092</v>
      </c>
      <c r="X107" s="39"/>
      <c r="Y107" s="48"/>
      <c r="Z107" s="49">
        <v>46265.0</v>
      </c>
      <c r="AA107" s="39"/>
      <c r="AB107" s="38"/>
      <c r="AC107" s="38"/>
    </row>
    <row r="108" ht="14.25" customHeight="1">
      <c r="A108" s="39" t="s">
        <v>914</v>
      </c>
      <c r="B108" s="39" t="s">
        <v>90</v>
      </c>
      <c r="C108" s="39" t="s">
        <v>73</v>
      </c>
      <c r="D108" s="40" t="s">
        <v>1093</v>
      </c>
      <c r="E108" s="39" t="s">
        <v>1094</v>
      </c>
      <c r="F108" s="39" t="s">
        <v>76</v>
      </c>
      <c r="G108" s="39" t="s">
        <v>77</v>
      </c>
      <c r="H108" s="41" t="s">
        <v>914</v>
      </c>
      <c r="I108" s="41" t="s">
        <v>73</v>
      </c>
      <c r="J108" s="50" t="s">
        <v>105</v>
      </c>
      <c r="K108" s="41" t="s">
        <v>79</v>
      </c>
      <c r="L108" s="39" t="s">
        <v>1025</v>
      </c>
      <c r="M108" s="39" t="s">
        <v>1095</v>
      </c>
      <c r="N108" s="39" t="s">
        <v>1096</v>
      </c>
      <c r="O108" s="40" t="s">
        <v>1027</v>
      </c>
      <c r="P108" s="40"/>
      <c r="Q108" s="39" t="s">
        <v>1097</v>
      </c>
      <c r="R108" s="43" t="s">
        <v>1098</v>
      </c>
      <c r="S108" s="51" t="s">
        <v>1099</v>
      </c>
      <c r="T108" s="70">
        <v>45424.0</v>
      </c>
      <c r="U108" s="41" t="s">
        <v>1100</v>
      </c>
      <c r="V108" s="53">
        <v>9.88592945E8</v>
      </c>
      <c r="W108" s="60" t="s">
        <v>1101</v>
      </c>
      <c r="X108" s="39"/>
      <c r="Y108" s="48"/>
      <c r="Z108" s="49">
        <v>46265.0</v>
      </c>
      <c r="AA108" s="39"/>
      <c r="AB108" s="38"/>
      <c r="AC108" s="38"/>
    </row>
    <row r="109" ht="14.25" customHeight="1">
      <c r="A109" s="39" t="s">
        <v>914</v>
      </c>
      <c r="B109" s="39" t="s">
        <v>90</v>
      </c>
      <c r="C109" s="39" t="s">
        <v>126</v>
      </c>
      <c r="D109" s="40" t="s">
        <v>1102</v>
      </c>
      <c r="E109" s="39" t="s">
        <v>1103</v>
      </c>
      <c r="F109" s="39" t="s">
        <v>76</v>
      </c>
      <c r="G109" s="39" t="s">
        <v>202</v>
      </c>
      <c r="H109" s="41" t="s">
        <v>914</v>
      </c>
      <c r="I109" s="39" t="s">
        <v>203</v>
      </c>
      <c r="J109" s="39" t="s">
        <v>129</v>
      </c>
      <c r="K109" s="39" t="s">
        <v>79</v>
      </c>
      <c r="L109" s="39" t="s">
        <v>974</v>
      </c>
      <c r="M109" s="39" t="s">
        <v>1104</v>
      </c>
      <c r="N109" s="39"/>
      <c r="O109" s="40" t="s">
        <v>1105</v>
      </c>
      <c r="P109" s="40"/>
      <c r="Q109" s="39"/>
      <c r="R109" s="43" t="s">
        <v>133</v>
      </c>
      <c r="S109" s="44" t="s">
        <v>86</v>
      </c>
      <c r="T109" s="48"/>
      <c r="U109" s="39"/>
      <c r="V109" s="48"/>
      <c r="W109" s="57"/>
      <c r="X109" s="39"/>
      <c r="Y109" s="48"/>
      <c r="Z109" s="49">
        <v>46265.0</v>
      </c>
      <c r="AA109" s="39"/>
      <c r="AB109" s="38"/>
      <c r="AC109" s="38"/>
    </row>
    <row r="110" ht="14.25" customHeight="1">
      <c r="A110" s="39" t="s">
        <v>914</v>
      </c>
      <c r="B110" s="39" t="s">
        <v>102</v>
      </c>
      <c r="C110" s="39" t="s">
        <v>73</v>
      </c>
      <c r="D110" s="40" t="s">
        <v>950</v>
      </c>
      <c r="E110" s="39" t="s">
        <v>1106</v>
      </c>
      <c r="F110" s="39" t="s">
        <v>76</v>
      </c>
      <c r="G110" s="39" t="s">
        <v>93</v>
      </c>
      <c r="H110" s="41" t="s">
        <v>914</v>
      </c>
      <c r="I110" s="41" t="s">
        <v>73</v>
      </c>
      <c r="J110" s="50" t="s">
        <v>78</v>
      </c>
      <c r="K110" s="41" t="s">
        <v>79</v>
      </c>
      <c r="L110" s="39" t="s">
        <v>1107</v>
      </c>
      <c r="M110" s="39" t="s">
        <v>1108</v>
      </c>
      <c r="N110" s="39" t="s">
        <v>1109</v>
      </c>
      <c r="O110" s="40" t="s">
        <v>1110</v>
      </c>
      <c r="P110" s="40"/>
      <c r="Q110" s="39" t="s">
        <v>1111</v>
      </c>
      <c r="R110" s="43"/>
      <c r="S110" s="44" t="s">
        <v>956</v>
      </c>
      <c r="T110" s="61">
        <v>47835.0</v>
      </c>
      <c r="U110" s="41" t="s">
        <v>1112</v>
      </c>
      <c r="V110" s="53">
        <v>9.80022002E8</v>
      </c>
      <c r="W110" s="60" t="s">
        <v>1113</v>
      </c>
      <c r="X110" s="39"/>
      <c r="Y110" s="48"/>
      <c r="Z110" s="49">
        <v>46265.0</v>
      </c>
      <c r="AA110" s="39"/>
      <c r="AB110" s="38"/>
      <c r="AC110" s="38"/>
    </row>
    <row r="111" ht="14.25" customHeight="1">
      <c r="A111" s="39" t="s">
        <v>914</v>
      </c>
      <c r="B111" s="39" t="s">
        <v>102</v>
      </c>
      <c r="C111" s="39" t="s">
        <v>73</v>
      </c>
      <c r="D111" s="40" t="s">
        <v>950</v>
      </c>
      <c r="E111" s="58" t="s">
        <v>1114</v>
      </c>
      <c r="F111" s="39" t="s">
        <v>76</v>
      </c>
      <c r="G111" s="39" t="s">
        <v>93</v>
      </c>
      <c r="H111" s="41" t="s">
        <v>914</v>
      </c>
      <c r="I111" s="41" t="s">
        <v>73</v>
      </c>
      <c r="J111" s="42" t="s">
        <v>78</v>
      </c>
      <c r="K111" s="41" t="s">
        <v>79</v>
      </c>
      <c r="L111" s="39" t="s">
        <v>106</v>
      </c>
      <c r="M111" s="39" t="s">
        <v>1115</v>
      </c>
      <c r="N111" s="39" t="s">
        <v>1116</v>
      </c>
      <c r="O111" s="40" t="s">
        <v>1117</v>
      </c>
      <c r="P111" s="40"/>
      <c r="Q111" s="39" t="s">
        <v>1118</v>
      </c>
      <c r="R111" s="43"/>
      <c r="S111" s="44" t="s">
        <v>956</v>
      </c>
      <c r="T111" s="61">
        <v>47835.0</v>
      </c>
      <c r="U111" s="41" t="s">
        <v>1119</v>
      </c>
      <c r="V111" s="53">
        <v>9.81691914E8</v>
      </c>
      <c r="W111" s="60" t="s">
        <v>1120</v>
      </c>
      <c r="X111" s="41"/>
      <c r="Y111" s="55"/>
      <c r="Z111" s="49">
        <v>46265.0</v>
      </c>
      <c r="AA111" s="39"/>
      <c r="AB111" s="38"/>
      <c r="AC111" s="38"/>
    </row>
    <row r="112" ht="14.25" customHeight="1">
      <c r="A112" s="39" t="s">
        <v>914</v>
      </c>
      <c r="B112" s="39" t="s">
        <v>102</v>
      </c>
      <c r="C112" s="39" t="s">
        <v>73</v>
      </c>
      <c r="D112" s="40" t="s">
        <v>1121</v>
      </c>
      <c r="E112" s="39" t="s">
        <v>1122</v>
      </c>
      <c r="F112" s="39" t="s">
        <v>76</v>
      </c>
      <c r="G112" s="39" t="s">
        <v>77</v>
      </c>
      <c r="H112" s="41" t="s">
        <v>914</v>
      </c>
      <c r="I112" s="41" t="s">
        <v>73</v>
      </c>
      <c r="J112" s="50" t="s">
        <v>105</v>
      </c>
      <c r="K112" s="41" t="s">
        <v>79</v>
      </c>
      <c r="L112" s="39" t="s">
        <v>1123</v>
      </c>
      <c r="M112" s="39" t="s">
        <v>1124</v>
      </c>
      <c r="N112" s="39" t="s">
        <v>1125</v>
      </c>
      <c r="O112" s="40" t="s">
        <v>1126</v>
      </c>
      <c r="P112" s="40"/>
      <c r="Q112" s="39" t="s">
        <v>1127</v>
      </c>
      <c r="R112" s="43"/>
      <c r="S112" s="51" t="s">
        <v>1128</v>
      </c>
      <c r="T112" s="70">
        <v>45035.0</v>
      </c>
      <c r="U112" s="41" t="s">
        <v>1129</v>
      </c>
      <c r="V112" s="53">
        <v>9.99936688E8</v>
      </c>
      <c r="W112" s="60" t="s">
        <v>1130</v>
      </c>
      <c r="X112" s="41" t="s">
        <v>1131</v>
      </c>
      <c r="Y112" s="55" t="s">
        <v>1132</v>
      </c>
      <c r="Z112" s="49">
        <v>46265.0</v>
      </c>
      <c r="AA112" s="39"/>
      <c r="AB112" s="38"/>
      <c r="AC112" s="38"/>
    </row>
    <row r="113" ht="14.25" customHeight="1">
      <c r="A113" s="39" t="s">
        <v>914</v>
      </c>
      <c r="B113" s="39" t="s">
        <v>102</v>
      </c>
      <c r="C113" s="39" t="s">
        <v>73</v>
      </c>
      <c r="D113" s="40" t="s">
        <v>1133</v>
      </c>
      <c r="E113" s="39" t="s">
        <v>1134</v>
      </c>
      <c r="F113" s="39" t="s">
        <v>76</v>
      </c>
      <c r="G113" s="39" t="s">
        <v>77</v>
      </c>
      <c r="H113" s="41" t="s">
        <v>914</v>
      </c>
      <c r="I113" s="41" t="s">
        <v>73</v>
      </c>
      <c r="J113" s="42" t="s">
        <v>78</v>
      </c>
      <c r="K113" s="41" t="s">
        <v>79</v>
      </c>
      <c r="L113" s="39" t="s">
        <v>1107</v>
      </c>
      <c r="M113" s="39" t="s">
        <v>1135</v>
      </c>
      <c r="N113" s="39" t="s">
        <v>1136</v>
      </c>
      <c r="O113" s="40" t="s">
        <v>1137</v>
      </c>
      <c r="P113" s="40"/>
      <c r="Q113" s="39" t="s">
        <v>1138</v>
      </c>
      <c r="R113" s="43" t="s">
        <v>1139</v>
      </c>
      <c r="S113" s="44" t="s">
        <v>151</v>
      </c>
      <c r="T113" s="45">
        <v>46273.0</v>
      </c>
      <c r="U113" s="41" t="s">
        <v>1140</v>
      </c>
      <c r="V113" s="53">
        <v>9.82761662E8</v>
      </c>
      <c r="W113" s="60" t="s">
        <v>1141</v>
      </c>
      <c r="X113" s="41" t="s">
        <v>1142</v>
      </c>
      <c r="Y113" s="55" t="s">
        <v>1143</v>
      </c>
      <c r="Z113" s="49">
        <v>46265.0</v>
      </c>
      <c r="AA113" s="39"/>
      <c r="AB113" s="38"/>
      <c r="AC113" s="38"/>
    </row>
    <row r="114" ht="14.25" customHeight="1">
      <c r="A114" s="39" t="s">
        <v>914</v>
      </c>
      <c r="B114" s="39" t="s">
        <v>102</v>
      </c>
      <c r="C114" s="39" t="s">
        <v>73</v>
      </c>
      <c r="D114" s="40" t="s">
        <v>1144</v>
      </c>
      <c r="E114" s="39" t="s">
        <v>1145</v>
      </c>
      <c r="F114" s="39" t="s">
        <v>76</v>
      </c>
      <c r="G114" s="39" t="s">
        <v>77</v>
      </c>
      <c r="H114" s="41" t="s">
        <v>914</v>
      </c>
      <c r="I114" s="41" t="s">
        <v>73</v>
      </c>
      <c r="J114" s="50" t="s">
        <v>105</v>
      </c>
      <c r="K114" s="41" t="s">
        <v>79</v>
      </c>
      <c r="L114" s="39" t="s">
        <v>1146</v>
      </c>
      <c r="M114" s="39" t="s">
        <v>269</v>
      </c>
      <c r="N114" s="39" t="s">
        <v>1147</v>
      </c>
      <c r="O114" s="40" t="s">
        <v>1148</v>
      </c>
      <c r="P114" s="40"/>
      <c r="Q114" s="39" t="s">
        <v>1149</v>
      </c>
      <c r="R114" s="43" t="s">
        <v>1150</v>
      </c>
      <c r="S114" s="44" t="s">
        <v>1151</v>
      </c>
      <c r="T114" s="45">
        <v>47650.0</v>
      </c>
      <c r="U114" s="41" t="s">
        <v>1152</v>
      </c>
      <c r="V114" s="53">
        <v>9.9944202E8</v>
      </c>
      <c r="W114" s="60" t="s">
        <v>1153</v>
      </c>
      <c r="X114" s="39"/>
      <c r="Y114" s="48"/>
      <c r="Z114" s="49">
        <v>46265.0</v>
      </c>
      <c r="AA114" s="39"/>
      <c r="AB114" s="38"/>
      <c r="AC114" s="38"/>
    </row>
    <row r="115" ht="14.25" customHeight="1">
      <c r="A115" s="39" t="s">
        <v>914</v>
      </c>
      <c r="B115" s="39" t="s">
        <v>102</v>
      </c>
      <c r="C115" s="39" t="s">
        <v>73</v>
      </c>
      <c r="D115" s="40" t="s">
        <v>1154</v>
      </c>
      <c r="E115" s="39" t="s">
        <v>1155</v>
      </c>
      <c r="F115" s="39" t="s">
        <v>76</v>
      </c>
      <c r="G115" s="39" t="s">
        <v>77</v>
      </c>
      <c r="H115" s="41" t="s">
        <v>914</v>
      </c>
      <c r="I115" s="41" t="s">
        <v>73</v>
      </c>
      <c r="J115" s="42" t="s">
        <v>105</v>
      </c>
      <c r="K115" s="41" t="s">
        <v>79</v>
      </c>
      <c r="L115" s="39" t="s">
        <v>1156</v>
      </c>
      <c r="M115" s="39" t="s">
        <v>304</v>
      </c>
      <c r="N115" s="39" t="s">
        <v>1157</v>
      </c>
      <c r="O115" s="40" t="s">
        <v>1158</v>
      </c>
      <c r="P115" s="40"/>
      <c r="Q115" s="39" t="s">
        <v>1159</v>
      </c>
      <c r="R115" s="43" t="s">
        <v>1160</v>
      </c>
      <c r="S115" s="51" t="s">
        <v>1161</v>
      </c>
      <c r="T115" s="70">
        <v>45115.0</v>
      </c>
      <c r="U115" s="42" t="s">
        <v>1162</v>
      </c>
      <c r="V115" s="56">
        <v>9.82632055E8</v>
      </c>
      <c r="W115" s="43" t="s">
        <v>1163</v>
      </c>
      <c r="X115" s="39"/>
      <c r="Y115" s="48"/>
      <c r="Z115" s="49">
        <v>46265.0</v>
      </c>
      <c r="AA115" s="39"/>
      <c r="AB115" s="38"/>
      <c r="AC115" s="38"/>
    </row>
    <row r="116" ht="14.25" customHeight="1">
      <c r="A116" s="39" t="s">
        <v>914</v>
      </c>
      <c r="B116" s="39" t="s">
        <v>102</v>
      </c>
      <c r="C116" s="39" t="s">
        <v>73</v>
      </c>
      <c r="D116" s="40" t="s">
        <v>1164</v>
      </c>
      <c r="E116" s="39" t="s">
        <v>1165</v>
      </c>
      <c r="F116" s="39" t="s">
        <v>76</v>
      </c>
      <c r="G116" s="39" t="s">
        <v>77</v>
      </c>
      <c r="H116" s="41" t="s">
        <v>914</v>
      </c>
      <c r="I116" s="41" t="s">
        <v>73</v>
      </c>
      <c r="J116" s="50" t="s">
        <v>105</v>
      </c>
      <c r="K116" s="41" t="s">
        <v>79</v>
      </c>
      <c r="L116" s="39" t="s">
        <v>1166</v>
      </c>
      <c r="M116" s="39" t="s">
        <v>1167</v>
      </c>
      <c r="N116" s="39" t="s">
        <v>1168</v>
      </c>
      <c r="O116" s="40" t="s">
        <v>1169</v>
      </c>
      <c r="P116" s="40"/>
      <c r="Q116" s="39" t="s">
        <v>1170</v>
      </c>
      <c r="R116" s="43"/>
      <c r="S116" s="51" t="s">
        <v>1171</v>
      </c>
      <c r="T116" s="70">
        <v>44821.0</v>
      </c>
      <c r="U116" s="41" t="s">
        <v>1172</v>
      </c>
      <c r="V116" s="53">
        <v>9.82950091E8</v>
      </c>
      <c r="W116" s="60" t="s">
        <v>1173</v>
      </c>
      <c r="X116" s="41" t="s">
        <v>1174</v>
      </c>
      <c r="Y116" s="55" t="s">
        <v>1175</v>
      </c>
      <c r="Z116" s="49">
        <v>46265.0</v>
      </c>
      <c r="AA116" s="39"/>
      <c r="AB116" s="38"/>
      <c r="AC116" s="38"/>
    </row>
    <row r="117" ht="14.25" customHeight="1">
      <c r="A117" s="39" t="s">
        <v>914</v>
      </c>
      <c r="B117" s="39" t="s">
        <v>102</v>
      </c>
      <c r="C117" s="39" t="s">
        <v>126</v>
      </c>
      <c r="D117" s="40" t="s">
        <v>1176</v>
      </c>
      <c r="E117" s="39" t="s">
        <v>1177</v>
      </c>
      <c r="F117" s="39" t="s">
        <v>76</v>
      </c>
      <c r="G117" s="39" t="s">
        <v>202</v>
      </c>
      <c r="H117" s="41" t="s">
        <v>914</v>
      </c>
      <c r="I117" s="39" t="s">
        <v>203</v>
      </c>
      <c r="J117" s="39" t="s">
        <v>129</v>
      </c>
      <c r="K117" s="39" t="s">
        <v>79</v>
      </c>
      <c r="L117" s="39" t="s">
        <v>1178</v>
      </c>
      <c r="M117" s="39" t="s">
        <v>1179</v>
      </c>
      <c r="N117" s="39"/>
      <c r="O117" s="40" t="s">
        <v>1180</v>
      </c>
      <c r="P117" s="40"/>
      <c r="Q117" s="39"/>
      <c r="R117" s="43" t="s">
        <v>133</v>
      </c>
      <c r="S117" s="44" t="s">
        <v>86</v>
      </c>
      <c r="T117" s="48"/>
      <c r="U117" s="39"/>
      <c r="V117" s="48"/>
      <c r="W117" s="57"/>
      <c r="X117" s="39"/>
      <c r="Y117" s="48"/>
      <c r="Z117" s="49">
        <v>46265.0</v>
      </c>
      <c r="AA117" s="39"/>
      <c r="AB117" s="38"/>
      <c r="AC117" s="38"/>
    </row>
    <row r="118" ht="14.25" customHeight="1">
      <c r="A118" s="39" t="s">
        <v>914</v>
      </c>
      <c r="B118" s="39" t="s">
        <v>116</v>
      </c>
      <c r="C118" s="39" t="s">
        <v>126</v>
      </c>
      <c r="D118" s="40" t="s">
        <v>1181</v>
      </c>
      <c r="E118" s="39" t="s">
        <v>1182</v>
      </c>
      <c r="F118" s="39" t="s">
        <v>76</v>
      </c>
      <c r="G118" s="39" t="s">
        <v>202</v>
      </c>
      <c r="H118" s="41" t="s">
        <v>914</v>
      </c>
      <c r="I118" s="39" t="s">
        <v>203</v>
      </c>
      <c r="J118" s="39" t="s">
        <v>129</v>
      </c>
      <c r="K118" s="39" t="s">
        <v>79</v>
      </c>
      <c r="L118" s="39" t="s">
        <v>1183</v>
      </c>
      <c r="M118" s="39" t="s">
        <v>1184</v>
      </c>
      <c r="N118" s="39"/>
      <c r="O118" s="40" t="s">
        <v>1185</v>
      </c>
      <c r="P118" s="40" t="s">
        <v>1186</v>
      </c>
      <c r="Q118" s="39"/>
      <c r="R118" s="43" t="s">
        <v>133</v>
      </c>
      <c r="S118" s="44" t="s">
        <v>1187</v>
      </c>
      <c r="T118" s="45">
        <v>47287.0</v>
      </c>
      <c r="U118" s="39"/>
      <c r="V118" s="48"/>
      <c r="W118" s="57"/>
      <c r="X118" s="39"/>
      <c r="Y118" s="48"/>
      <c r="Z118" s="49">
        <v>46265.0</v>
      </c>
      <c r="AA118" s="39"/>
      <c r="AB118" s="38"/>
      <c r="AC118" s="38"/>
    </row>
    <row r="119" ht="14.25" customHeight="1">
      <c r="A119" s="39" t="s">
        <v>914</v>
      </c>
      <c r="B119" s="39" t="s">
        <v>209</v>
      </c>
      <c r="C119" s="39" t="s">
        <v>73</v>
      </c>
      <c r="D119" s="40" t="s">
        <v>1188</v>
      </c>
      <c r="E119" s="39" t="s">
        <v>1189</v>
      </c>
      <c r="F119" s="39" t="s">
        <v>76</v>
      </c>
      <c r="G119" s="39" t="s">
        <v>77</v>
      </c>
      <c r="H119" s="41" t="s">
        <v>914</v>
      </c>
      <c r="I119" s="41" t="s">
        <v>73</v>
      </c>
      <c r="J119" s="42" t="s">
        <v>105</v>
      </c>
      <c r="K119" s="41" t="s">
        <v>79</v>
      </c>
      <c r="L119" s="39" t="s">
        <v>1190</v>
      </c>
      <c r="M119" s="39" t="s">
        <v>1191</v>
      </c>
      <c r="N119" s="39" t="s">
        <v>1192</v>
      </c>
      <c r="O119" s="40" t="s">
        <v>1193</v>
      </c>
      <c r="P119" s="40"/>
      <c r="Q119" s="39" t="s">
        <v>1194</v>
      </c>
      <c r="R119" s="43"/>
      <c r="S119" s="51" t="s">
        <v>1195</v>
      </c>
      <c r="T119" s="70">
        <v>45182.0</v>
      </c>
      <c r="U119" s="42" t="s">
        <v>1196</v>
      </c>
      <c r="V119" s="46">
        <v>9.83334465E8</v>
      </c>
      <c r="W119" s="47" t="s">
        <v>1197</v>
      </c>
      <c r="X119" s="41" t="s">
        <v>1198</v>
      </c>
      <c r="Y119" s="55" t="s">
        <v>1143</v>
      </c>
      <c r="Z119" s="49">
        <v>46265.0</v>
      </c>
      <c r="AA119" s="39"/>
      <c r="AB119" s="38"/>
      <c r="AC119" s="38"/>
    </row>
    <row r="120" ht="14.25" customHeight="1">
      <c r="A120" s="39" t="s">
        <v>914</v>
      </c>
      <c r="B120" s="39" t="s">
        <v>209</v>
      </c>
      <c r="C120" s="39" t="s">
        <v>73</v>
      </c>
      <c r="D120" s="40" t="s">
        <v>1199</v>
      </c>
      <c r="E120" s="39" t="s">
        <v>1200</v>
      </c>
      <c r="F120" s="39" t="s">
        <v>76</v>
      </c>
      <c r="G120" s="39" t="s">
        <v>77</v>
      </c>
      <c r="H120" s="41" t="s">
        <v>914</v>
      </c>
      <c r="I120" s="41" t="s">
        <v>73</v>
      </c>
      <c r="J120" s="50" t="s">
        <v>78</v>
      </c>
      <c r="K120" s="41" t="s">
        <v>79</v>
      </c>
      <c r="L120" s="39" t="s">
        <v>1201</v>
      </c>
      <c r="M120" s="39" t="s">
        <v>1202</v>
      </c>
      <c r="N120" s="39" t="s">
        <v>1203</v>
      </c>
      <c r="O120" s="40" t="s">
        <v>1204</v>
      </c>
      <c r="P120" s="40"/>
      <c r="Q120" s="39" t="s">
        <v>1205</v>
      </c>
      <c r="R120" s="43"/>
      <c r="S120" s="44" t="s">
        <v>1206</v>
      </c>
      <c r="T120" s="45">
        <v>47287.0</v>
      </c>
      <c r="U120" s="41" t="s">
        <v>1207</v>
      </c>
      <c r="V120" s="53">
        <v>9.8136929E8</v>
      </c>
      <c r="W120" s="60" t="s">
        <v>1208</v>
      </c>
      <c r="X120" s="41" t="s">
        <v>1209</v>
      </c>
      <c r="Y120" s="55" t="s">
        <v>1210</v>
      </c>
      <c r="Z120" s="49">
        <v>46265.0</v>
      </c>
      <c r="AA120" s="39"/>
      <c r="AB120" s="38"/>
      <c r="AC120" s="38"/>
    </row>
    <row r="121" ht="14.25" customHeight="1">
      <c r="A121" s="39" t="s">
        <v>914</v>
      </c>
      <c r="B121" s="39" t="s">
        <v>249</v>
      </c>
      <c r="C121" s="39" t="s">
        <v>126</v>
      </c>
      <c r="D121" s="40" t="s">
        <v>1211</v>
      </c>
      <c r="E121" s="39" t="s">
        <v>1212</v>
      </c>
      <c r="F121" s="39" t="s">
        <v>76</v>
      </c>
      <c r="G121" s="39" t="s">
        <v>202</v>
      </c>
      <c r="H121" s="41" t="s">
        <v>914</v>
      </c>
      <c r="I121" s="39" t="s">
        <v>203</v>
      </c>
      <c r="J121" s="39" t="s">
        <v>129</v>
      </c>
      <c r="K121" s="39" t="s">
        <v>79</v>
      </c>
      <c r="L121" s="39" t="s">
        <v>1213</v>
      </c>
      <c r="M121" s="39" t="s">
        <v>1214</v>
      </c>
      <c r="N121" s="39"/>
      <c r="O121" s="40" t="s">
        <v>1215</v>
      </c>
      <c r="P121" s="40" t="s">
        <v>1216</v>
      </c>
      <c r="Q121" s="39"/>
      <c r="R121" s="43" t="s">
        <v>133</v>
      </c>
      <c r="S121" s="51" t="s">
        <v>1217</v>
      </c>
      <c r="T121" s="52">
        <v>45982.0</v>
      </c>
      <c r="U121" s="39"/>
      <c r="V121" s="48"/>
      <c r="W121" s="57"/>
      <c r="X121" s="39"/>
      <c r="Y121" s="48"/>
      <c r="Z121" s="49">
        <v>46265.0</v>
      </c>
      <c r="AA121" s="39"/>
      <c r="AB121" s="38"/>
      <c r="AC121" s="38"/>
    </row>
    <row r="122" ht="14.25" customHeight="1">
      <c r="A122" s="39" t="s">
        <v>914</v>
      </c>
      <c r="B122" s="39" t="s">
        <v>249</v>
      </c>
      <c r="C122" s="39" t="s">
        <v>73</v>
      </c>
      <c r="D122" s="40" t="s">
        <v>1218</v>
      </c>
      <c r="E122" s="39" t="s">
        <v>1219</v>
      </c>
      <c r="F122" s="39" t="s">
        <v>76</v>
      </c>
      <c r="G122" s="39" t="s">
        <v>77</v>
      </c>
      <c r="H122" s="41" t="s">
        <v>914</v>
      </c>
      <c r="I122" s="41" t="s">
        <v>73</v>
      </c>
      <c r="J122" s="50" t="s">
        <v>78</v>
      </c>
      <c r="K122" s="41" t="s">
        <v>79</v>
      </c>
      <c r="L122" s="39" t="s">
        <v>1220</v>
      </c>
      <c r="M122" s="39" t="s">
        <v>262</v>
      </c>
      <c r="N122" s="39" t="s">
        <v>1221</v>
      </c>
      <c r="O122" s="40" t="s">
        <v>1222</v>
      </c>
      <c r="P122" s="40"/>
      <c r="Q122" s="39" t="s">
        <v>1223</v>
      </c>
      <c r="R122" s="43" t="s">
        <v>1224</v>
      </c>
      <c r="S122" s="44" t="s">
        <v>151</v>
      </c>
      <c r="T122" s="45">
        <v>46273.0</v>
      </c>
      <c r="U122" s="41" t="s">
        <v>1225</v>
      </c>
      <c r="V122" s="53">
        <v>9.8244923E8</v>
      </c>
      <c r="W122" s="60" t="s">
        <v>1226</v>
      </c>
      <c r="X122" s="39"/>
      <c r="Y122" s="48"/>
      <c r="Z122" s="49">
        <v>46265.0</v>
      </c>
      <c r="AA122" s="39"/>
      <c r="AB122" s="38"/>
      <c r="AC122" s="38"/>
    </row>
    <row r="123" ht="14.25" customHeight="1">
      <c r="A123" s="39" t="s">
        <v>914</v>
      </c>
      <c r="B123" s="39" t="s">
        <v>249</v>
      </c>
      <c r="C123" s="39" t="s">
        <v>73</v>
      </c>
      <c r="D123" s="40" t="s">
        <v>1227</v>
      </c>
      <c r="E123" s="39" t="s">
        <v>1228</v>
      </c>
      <c r="F123" s="39" t="s">
        <v>76</v>
      </c>
      <c r="G123" s="39" t="s">
        <v>77</v>
      </c>
      <c r="H123" s="41" t="s">
        <v>914</v>
      </c>
      <c r="I123" s="41" t="s">
        <v>73</v>
      </c>
      <c r="J123" s="42" t="s">
        <v>105</v>
      </c>
      <c r="K123" s="41" t="s">
        <v>79</v>
      </c>
      <c r="L123" s="39" t="s">
        <v>1229</v>
      </c>
      <c r="M123" s="39" t="s">
        <v>1230</v>
      </c>
      <c r="N123" s="39" t="s">
        <v>1231</v>
      </c>
      <c r="O123" s="40" t="s">
        <v>1232</v>
      </c>
      <c r="P123" s="40"/>
      <c r="Q123" s="39" t="s">
        <v>1233</v>
      </c>
      <c r="R123" s="43"/>
      <c r="S123" s="51" t="s">
        <v>1234</v>
      </c>
      <c r="T123" s="52">
        <v>43821.0</v>
      </c>
      <c r="U123" s="41" t="s">
        <v>1235</v>
      </c>
      <c r="V123" s="53">
        <v>9.85201588E8</v>
      </c>
      <c r="W123" s="60" t="s">
        <v>1236</v>
      </c>
      <c r="X123" s="41" t="s">
        <v>1237</v>
      </c>
      <c r="Y123" s="55" t="s">
        <v>1238</v>
      </c>
      <c r="Z123" s="49">
        <v>46265.0</v>
      </c>
      <c r="AA123" s="39"/>
      <c r="AB123" s="38"/>
      <c r="AC123" s="38"/>
    </row>
    <row r="124" ht="14.25" customHeight="1">
      <c r="A124" s="39" t="s">
        <v>914</v>
      </c>
      <c r="B124" s="39" t="s">
        <v>249</v>
      </c>
      <c r="C124" s="39" t="s">
        <v>73</v>
      </c>
      <c r="D124" s="40" t="s">
        <v>1239</v>
      </c>
      <c r="E124" s="39" t="s">
        <v>1240</v>
      </c>
      <c r="F124" s="39" t="s">
        <v>76</v>
      </c>
      <c r="G124" s="39" t="s">
        <v>77</v>
      </c>
      <c r="H124" s="41" t="s">
        <v>914</v>
      </c>
      <c r="I124" s="41" t="s">
        <v>73</v>
      </c>
      <c r="J124" s="50" t="s">
        <v>78</v>
      </c>
      <c r="K124" s="41" t="s">
        <v>79</v>
      </c>
      <c r="L124" s="39" t="s">
        <v>1241</v>
      </c>
      <c r="M124" s="39" t="s">
        <v>1242</v>
      </c>
      <c r="N124" s="39" t="s">
        <v>1243</v>
      </c>
      <c r="O124" s="40" t="s">
        <v>1244</v>
      </c>
      <c r="P124" s="40"/>
      <c r="Q124" s="39" t="s">
        <v>1245</v>
      </c>
      <c r="R124" s="43"/>
      <c r="S124" s="44" t="s">
        <v>1246</v>
      </c>
      <c r="T124" s="45">
        <v>46912.0</v>
      </c>
      <c r="U124" s="41" t="s">
        <v>1247</v>
      </c>
      <c r="V124" s="53">
        <v>9.84350325E8</v>
      </c>
      <c r="W124" s="60" t="s">
        <v>1248</v>
      </c>
      <c r="X124" s="41" t="s">
        <v>1249</v>
      </c>
      <c r="Y124" s="55" t="s">
        <v>1250</v>
      </c>
      <c r="Z124" s="49">
        <v>46265.0</v>
      </c>
      <c r="AA124" s="39"/>
      <c r="AB124" s="38"/>
      <c r="AC124" s="38"/>
    </row>
    <row r="125" ht="14.25" customHeight="1">
      <c r="A125" s="39" t="s">
        <v>914</v>
      </c>
      <c r="B125" s="39" t="s">
        <v>249</v>
      </c>
      <c r="C125" s="39" t="s">
        <v>73</v>
      </c>
      <c r="D125" s="40" t="s">
        <v>1251</v>
      </c>
      <c r="E125" s="39" t="s">
        <v>1252</v>
      </c>
      <c r="F125" s="39" t="s">
        <v>76</v>
      </c>
      <c r="G125" s="39" t="s">
        <v>77</v>
      </c>
      <c r="H125" s="41" t="s">
        <v>914</v>
      </c>
      <c r="I125" s="41" t="s">
        <v>73</v>
      </c>
      <c r="J125" s="42" t="s">
        <v>78</v>
      </c>
      <c r="K125" s="41" t="s">
        <v>79</v>
      </c>
      <c r="L125" s="39" t="s">
        <v>1253</v>
      </c>
      <c r="M125" s="39" t="s">
        <v>1254</v>
      </c>
      <c r="N125" s="39" t="s">
        <v>1255</v>
      </c>
      <c r="O125" s="40" t="s">
        <v>1256</v>
      </c>
      <c r="P125" s="40"/>
      <c r="Q125" s="39" t="s">
        <v>1257</v>
      </c>
      <c r="R125" s="43" t="s">
        <v>1258</v>
      </c>
      <c r="S125" s="44" t="s">
        <v>151</v>
      </c>
      <c r="T125" s="45">
        <v>46273.0</v>
      </c>
      <c r="U125" s="73" t="s">
        <v>1259</v>
      </c>
      <c r="V125" s="74">
        <v>9.82113546E8</v>
      </c>
      <c r="W125" s="60" t="s">
        <v>1260</v>
      </c>
      <c r="X125" s="39"/>
      <c r="Y125" s="48"/>
      <c r="Z125" s="49">
        <v>46265.0</v>
      </c>
      <c r="AA125" s="39"/>
      <c r="AB125" s="38"/>
      <c r="AC125" s="38"/>
    </row>
    <row r="126" ht="14.25" customHeight="1">
      <c r="A126" s="39" t="s">
        <v>914</v>
      </c>
      <c r="B126" s="39" t="s">
        <v>249</v>
      </c>
      <c r="C126" s="39" t="s">
        <v>73</v>
      </c>
      <c r="D126" s="40" t="s">
        <v>1261</v>
      </c>
      <c r="E126" s="39" t="s">
        <v>1262</v>
      </c>
      <c r="F126" s="39" t="s">
        <v>76</v>
      </c>
      <c r="G126" s="39" t="s">
        <v>77</v>
      </c>
      <c r="H126" s="41" t="s">
        <v>914</v>
      </c>
      <c r="I126" s="41" t="s">
        <v>73</v>
      </c>
      <c r="J126" s="50" t="s">
        <v>105</v>
      </c>
      <c r="K126" s="41" t="s">
        <v>79</v>
      </c>
      <c r="L126" s="39" t="s">
        <v>1263</v>
      </c>
      <c r="M126" s="39" t="s">
        <v>1264</v>
      </c>
      <c r="N126" s="39" t="s">
        <v>1265</v>
      </c>
      <c r="O126" s="40" t="s">
        <v>1266</v>
      </c>
      <c r="P126" s="40"/>
      <c r="Q126" s="39" t="s">
        <v>1267</v>
      </c>
      <c r="R126" s="43" t="s">
        <v>1268</v>
      </c>
      <c r="S126" s="44" t="s">
        <v>1269</v>
      </c>
      <c r="T126" s="61">
        <v>47776.0</v>
      </c>
      <c r="U126" s="41" t="s">
        <v>1270</v>
      </c>
      <c r="V126" s="53">
        <v>9.8888674E8</v>
      </c>
      <c r="W126" s="60" t="s">
        <v>1271</v>
      </c>
      <c r="X126" s="41" t="s">
        <v>1272</v>
      </c>
      <c r="Y126" s="55" t="s">
        <v>1273</v>
      </c>
      <c r="Z126" s="49">
        <v>46265.0</v>
      </c>
      <c r="AA126" s="39"/>
      <c r="AB126" s="38"/>
      <c r="AC126" s="38"/>
    </row>
    <row r="127" ht="14.25" customHeight="1">
      <c r="A127" s="39" t="s">
        <v>914</v>
      </c>
      <c r="B127" s="39" t="s">
        <v>249</v>
      </c>
      <c r="C127" s="39" t="s">
        <v>73</v>
      </c>
      <c r="D127" s="40" t="s">
        <v>1274</v>
      </c>
      <c r="E127" s="39" t="s">
        <v>1275</v>
      </c>
      <c r="F127" s="39" t="s">
        <v>76</v>
      </c>
      <c r="G127" s="39" t="s">
        <v>77</v>
      </c>
      <c r="H127" s="41" t="s">
        <v>914</v>
      </c>
      <c r="I127" s="41" t="s">
        <v>73</v>
      </c>
      <c r="J127" s="42" t="s">
        <v>105</v>
      </c>
      <c r="K127" s="41" t="s">
        <v>79</v>
      </c>
      <c r="L127" s="39" t="s">
        <v>1253</v>
      </c>
      <c r="M127" s="39" t="s">
        <v>1276</v>
      </c>
      <c r="N127" s="39" t="s">
        <v>1277</v>
      </c>
      <c r="O127" s="40" t="s">
        <v>1256</v>
      </c>
      <c r="P127" s="40"/>
      <c r="Q127" s="39" t="s">
        <v>1278</v>
      </c>
      <c r="R127" s="43" t="s">
        <v>1279</v>
      </c>
      <c r="S127" s="51" t="s">
        <v>1280</v>
      </c>
      <c r="T127" s="70">
        <v>43576.0</v>
      </c>
      <c r="U127" s="41" t="s">
        <v>1281</v>
      </c>
      <c r="V127" s="53">
        <v>9.83072865E8</v>
      </c>
      <c r="W127" s="60" t="s">
        <v>1282</v>
      </c>
      <c r="X127" s="39"/>
      <c r="Y127" s="48"/>
      <c r="Z127" s="49">
        <v>46265.0</v>
      </c>
      <c r="AA127" s="39"/>
      <c r="AB127" s="38"/>
      <c r="AC127" s="38"/>
    </row>
    <row r="128" ht="14.25" customHeight="1">
      <c r="A128" s="39" t="s">
        <v>914</v>
      </c>
      <c r="B128" s="39" t="s">
        <v>249</v>
      </c>
      <c r="C128" s="39" t="s">
        <v>126</v>
      </c>
      <c r="D128" s="40" t="s">
        <v>586</v>
      </c>
      <c r="E128" s="39" t="s">
        <v>1283</v>
      </c>
      <c r="F128" s="39" t="s">
        <v>76</v>
      </c>
      <c r="G128" s="39" t="s">
        <v>202</v>
      </c>
      <c r="H128" s="41" t="s">
        <v>914</v>
      </c>
      <c r="I128" s="39" t="s">
        <v>203</v>
      </c>
      <c r="J128" s="39" t="s">
        <v>129</v>
      </c>
      <c r="K128" s="39" t="s">
        <v>79</v>
      </c>
      <c r="L128" s="39" t="s">
        <v>281</v>
      </c>
      <c r="M128" s="39" t="s">
        <v>1284</v>
      </c>
      <c r="N128" s="39"/>
      <c r="O128" s="40" t="s">
        <v>1285</v>
      </c>
      <c r="P128" s="40"/>
      <c r="Q128" s="39"/>
      <c r="R128" s="43" t="s">
        <v>133</v>
      </c>
      <c r="S128" s="44" t="s">
        <v>86</v>
      </c>
      <c r="T128" s="48"/>
      <c r="U128" s="39"/>
      <c r="V128" s="48"/>
      <c r="W128" s="57"/>
      <c r="X128" s="39"/>
      <c r="Y128" s="48"/>
      <c r="Z128" s="49">
        <v>46265.0</v>
      </c>
      <c r="AA128" s="39"/>
      <c r="AB128" s="38"/>
      <c r="AC128" s="38"/>
    </row>
    <row r="129" ht="14.25" customHeight="1">
      <c r="A129" s="39" t="s">
        <v>1286</v>
      </c>
      <c r="B129" s="39" t="s">
        <v>1287</v>
      </c>
      <c r="C129" s="39" t="s">
        <v>73</v>
      </c>
      <c r="D129" s="40" t="s">
        <v>1288</v>
      </c>
      <c r="E129" s="39" t="s">
        <v>1289</v>
      </c>
      <c r="F129" s="39" t="s">
        <v>76</v>
      </c>
      <c r="G129" s="39" t="s">
        <v>77</v>
      </c>
      <c r="H129" s="41" t="s">
        <v>1286</v>
      </c>
      <c r="I129" s="41" t="s">
        <v>73</v>
      </c>
      <c r="J129" s="42" t="s">
        <v>105</v>
      </c>
      <c r="K129" s="41" t="s">
        <v>79</v>
      </c>
      <c r="L129" s="39" t="s">
        <v>1290</v>
      </c>
      <c r="M129" s="39" t="s">
        <v>269</v>
      </c>
      <c r="N129" s="39" t="s">
        <v>1291</v>
      </c>
      <c r="O129" s="40" t="s">
        <v>1292</v>
      </c>
      <c r="P129" s="40"/>
      <c r="Q129" s="39" t="s">
        <v>1293</v>
      </c>
      <c r="R129" s="43" t="s">
        <v>1294</v>
      </c>
      <c r="S129" s="44" t="s">
        <v>1295</v>
      </c>
      <c r="T129" s="45">
        <v>46924.0</v>
      </c>
      <c r="U129" s="41" t="s">
        <v>1296</v>
      </c>
      <c r="V129" s="53">
        <v>9.8488353E8</v>
      </c>
      <c r="W129" s="54" t="s">
        <v>1297</v>
      </c>
      <c r="X129" s="41" t="s">
        <v>1298</v>
      </c>
      <c r="Y129" s="55" t="s">
        <v>1299</v>
      </c>
      <c r="Z129" s="49">
        <v>46265.0</v>
      </c>
      <c r="AA129" s="39"/>
      <c r="AB129" s="38"/>
      <c r="AC129" s="38"/>
    </row>
    <row r="130" ht="14.25" customHeight="1">
      <c r="A130" s="39" t="s">
        <v>1286</v>
      </c>
      <c r="B130" s="39" t="s">
        <v>1300</v>
      </c>
      <c r="C130" s="39" t="s">
        <v>73</v>
      </c>
      <c r="D130" s="40" t="s">
        <v>1301</v>
      </c>
      <c r="E130" s="39" t="s">
        <v>1302</v>
      </c>
      <c r="F130" s="39" t="s">
        <v>76</v>
      </c>
      <c r="G130" s="39" t="s">
        <v>77</v>
      </c>
      <c r="H130" s="41" t="s">
        <v>1286</v>
      </c>
      <c r="I130" s="41" t="s">
        <v>73</v>
      </c>
      <c r="J130" s="50" t="s">
        <v>105</v>
      </c>
      <c r="K130" s="41" t="s">
        <v>79</v>
      </c>
      <c r="L130" s="39" t="s">
        <v>1303</v>
      </c>
      <c r="M130" s="39" t="s">
        <v>1304</v>
      </c>
      <c r="N130" s="39" t="s">
        <v>1305</v>
      </c>
      <c r="O130" s="40" t="s">
        <v>1306</v>
      </c>
      <c r="P130" s="40"/>
      <c r="Q130" s="39" t="s">
        <v>1307</v>
      </c>
      <c r="R130" s="43" t="s">
        <v>1308</v>
      </c>
      <c r="S130" s="44" t="s">
        <v>1309</v>
      </c>
      <c r="T130" s="45">
        <v>46854.0</v>
      </c>
      <c r="U130" s="41" t="s">
        <v>1310</v>
      </c>
      <c r="V130" s="53">
        <v>9.82266157E8</v>
      </c>
      <c r="W130" s="60" t="s">
        <v>1311</v>
      </c>
      <c r="X130" s="41" t="s">
        <v>1312</v>
      </c>
      <c r="Y130" s="55" t="s">
        <v>1313</v>
      </c>
      <c r="Z130" s="49">
        <v>46265.0</v>
      </c>
      <c r="AA130" s="39"/>
      <c r="AB130" s="38"/>
      <c r="AC130" s="38"/>
    </row>
    <row r="131" ht="14.25" customHeight="1">
      <c r="A131" s="39" t="s">
        <v>1286</v>
      </c>
      <c r="B131" s="39" t="s">
        <v>1300</v>
      </c>
      <c r="C131" s="39" t="s">
        <v>73</v>
      </c>
      <c r="D131" s="40" t="s">
        <v>1314</v>
      </c>
      <c r="E131" s="39" t="s">
        <v>1315</v>
      </c>
      <c r="F131" s="39" t="s">
        <v>76</v>
      </c>
      <c r="G131" s="39" t="s">
        <v>77</v>
      </c>
      <c r="H131" s="41" t="s">
        <v>1286</v>
      </c>
      <c r="I131" s="41" t="s">
        <v>73</v>
      </c>
      <c r="J131" s="42" t="s">
        <v>105</v>
      </c>
      <c r="K131" s="41" t="s">
        <v>79</v>
      </c>
      <c r="L131" s="39" t="s">
        <v>1316</v>
      </c>
      <c r="M131" s="39" t="s">
        <v>269</v>
      </c>
      <c r="N131" s="39" t="s">
        <v>1317</v>
      </c>
      <c r="O131" s="40" t="s">
        <v>1318</v>
      </c>
      <c r="P131" s="40"/>
      <c r="Q131" s="39" t="s">
        <v>1319</v>
      </c>
      <c r="R131" s="43"/>
      <c r="S131" s="44" t="s">
        <v>1320</v>
      </c>
      <c r="T131" s="61">
        <v>47413.0</v>
      </c>
      <c r="U131" s="41" t="s">
        <v>1321</v>
      </c>
      <c r="V131" s="53">
        <v>9.86180143E8</v>
      </c>
      <c r="W131" s="54" t="s">
        <v>1322</v>
      </c>
      <c r="X131" s="41" t="s">
        <v>1323</v>
      </c>
      <c r="Y131" s="55" t="s">
        <v>1324</v>
      </c>
      <c r="Z131" s="49">
        <v>46265.0</v>
      </c>
      <c r="AA131" s="39"/>
      <c r="AB131" s="38"/>
      <c r="AC131" s="38"/>
    </row>
    <row r="132" ht="14.25" customHeight="1">
      <c r="A132" s="39" t="s">
        <v>1286</v>
      </c>
      <c r="B132" s="39" t="s">
        <v>1300</v>
      </c>
      <c r="C132" s="39" t="s">
        <v>73</v>
      </c>
      <c r="D132" s="40" t="s">
        <v>1325</v>
      </c>
      <c r="E132" s="39" t="s">
        <v>1326</v>
      </c>
      <c r="F132" s="39" t="s">
        <v>76</v>
      </c>
      <c r="G132" s="39" t="s">
        <v>77</v>
      </c>
      <c r="H132" s="41" t="s">
        <v>1286</v>
      </c>
      <c r="I132" s="41" t="s">
        <v>73</v>
      </c>
      <c r="J132" s="50" t="s">
        <v>105</v>
      </c>
      <c r="K132" s="41" t="s">
        <v>79</v>
      </c>
      <c r="L132" s="39" t="s">
        <v>1327</v>
      </c>
      <c r="M132" s="39" t="s">
        <v>269</v>
      </c>
      <c r="N132" s="39" t="s">
        <v>1328</v>
      </c>
      <c r="O132" s="40" t="s">
        <v>1329</v>
      </c>
      <c r="P132" s="40"/>
      <c r="Q132" s="39" t="s">
        <v>1330</v>
      </c>
      <c r="R132" s="43"/>
      <c r="S132" s="44" t="s">
        <v>1331</v>
      </c>
      <c r="T132" s="61">
        <v>47413.0</v>
      </c>
      <c r="U132" s="41" t="s">
        <v>1332</v>
      </c>
      <c r="V132" s="53">
        <v>9.88270536E8</v>
      </c>
      <c r="W132" s="54" t="s">
        <v>1333</v>
      </c>
      <c r="X132" s="41" t="s">
        <v>1334</v>
      </c>
      <c r="Y132" s="55" t="s">
        <v>1335</v>
      </c>
      <c r="Z132" s="49">
        <v>46265.0</v>
      </c>
      <c r="AA132" s="39"/>
      <c r="AB132" s="38"/>
      <c r="AC132" s="38"/>
    </row>
    <row r="133" ht="14.25" customHeight="1">
      <c r="A133" s="39" t="s">
        <v>1286</v>
      </c>
      <c r="B133" s="39" t="s">
        <v>1300</v>
      </c>
      <c r="C133" s="39" t="s">
        <v>73</v>
      </c>
      <c r="D133" s="40" t="s">
        <v>1336</v>
      </c>
      <c r="E133" s="39" t="s">
        <v>1337</v>
      </c>
      <c r="F133" s="39" t="s">
        <v>76</v>
      </c>
      <c r="G133" s="39" t="s">
        <v>77</v>
      </c>
      <c r="H133" s="41" t="s">
        <v>1286</v>
      </c>
      <c r="I133" s="41" t="s">
        <v>73</v>
      </c>
      <c r="J133" s="42" t="s">
        <v>105</v>
      </c>
      <c r="K133" s="41" t="s">
        <v>79</v>
      </c>
      <c r="L133" s="39" t="s">
        <v>1338</v>
      </c>
      <c r="M133" s="39" t="s">
        <v>269</v>
      </c>
      <c r="N133" s="39" t="s">
        <v>1339</v>
      </c>
      <c r="O133" s="40" t="s">
        <v>1340</v>
      </c>
      <c r="P133" s="40"/>
      <c r="Q133" s="39" t="s">
        <v>1341</v>
      </c>
      <c r="R133" s="43" t="s">
        <v>1342</v>
      </c>
      <c r="S133" s="51" t="s">
        <v>1343</v>
      </c>
      <c r="T133" s="52">
        <v>44558.0</v>
      </c>
      <c r="U133" s="42" t="s">
        <v>1344</v>
      </c>
      <c r="V133" s="56">
        <v>9.8182809E8</v>
      </c>
      <c r="W133" s="57"/>
      <c r="X133" s="39"/>
      <c r="Y133" s="48"/>
      <c r="Z133" s="49">
        <v>46265.0</v>
      </c>
      <c r="AA133" s="39"/>
      <c r="AB133" s="38"/>
      <c r="AC133" s="38"/>
    </row>
    <row r="134" ht="14.25" customHeight="1">
      <c r="A134" s="39" t="s">
        <v>1286</v>
      </c>
      <c r="B134" s="39" t="s">
        <v>1300</v>
      </c>
      <c r="C134" s="39" t="s">
        <v>126</v>
      </c>
      <c r="D134" s="40" t="s">
        <v>1345</v>
      </c>
      <c r="E134" s="39" t="s">
        <v>1346</v>
      </c>
      <c r="F134" s="39" t="s">
        <v>76</v>
      </c>
      <c r="G134" s="39" t="s">
        <v>202</v>
      </c>
      <c r="H134" s="41" t="s">
        <v>1286</v>
      </c>
      <c r="I134" s="39" t="s">
        <v>203</v>
      </c>
      <c r="J134" s="39" t="s">
        <v>129</v>
      </c>
      <c r="K134" s="39" t="s">
        <v>79</v>
      </c>
      <c r="L134" s="39" t="s">
        <v>1347</v>
      </c>
      <c r="M134" s="39" t="s">
        <v>1348</v>
      </c>
      <c r="N134" s="39"/>
      <c r="O134" s="40" t="s">
        <v>1349</v>
      </c>
      <c r="P134" s="40"/>
      <c r="Q134" s="39"/>
      <c r="R134" s="43" t="s">
        <v>133</v>
      </c>
      <c r="S134" s="51" t="s">
        <v>1350</v>
      </c>
      <c r="T134" s="52">
        <v>45982.0</v>
      </c>
      <c r="U134" s="39"/>
      <c r="V134" s="48"/>
      <c r="W134" s="57"/>
      <c r="X134" s="39"/>
      <c r="Y134" s="48"/>
      <c r="Z134" s="49">
        <v>46265.0</v>
      </c>
      <c r="AA134" s="39"/>
      <c r="AB134" s="38"/>
      <c r="AC134" s="38"/>
    </row>
    <row r="135" ht="14.25" customHeight="1">
      <c r="A135" s="39" t="s">
        <v>1286</v>
      </c>
      <c r="B135" s="39" t="s">
        <v>1351</v>
      </c>
      <c r="C135" s="39" t="s">
        <v>126</v>
      </c>
      <c r="D135" s="40" t="s">
        <v>1352</v>
      </c>
      <c r="E135" s="39" t="s">
        <v>1353</v>
      </c>
      <c r="F135" s="39" t="s">
        <v>76</v>
      </c>
      <c r="G135" s="39" t="s">
        <v>202</v>
      </c>
      <c r="H135" s="41" t="s">
        <v>1286</v>
      </c>
      <c r="I135" s="39" t="s">
        <v>203</v>
      </c>
      <c r="J135" s="39" t="s">
        <v>129</v>
      </c>
      <c r="K135" s="39" t="s">
        <v>79</v>
      </c>
      <c r="L135" s="39" t="s">
        <v>1354</v>
      </c>
      <c r="M135" s="39" t="s">
        <v>1355</v>
      </c>
      <c r="N135" s="39"/>
      <c r="O135" s="40" t="s">
        <v>1356</v>
      </c>
      <c r="P135" s="40" t="s">
        <v>1357</v>
      </c>
      <c r="Q135" s="39"/>
      <c r="R135" s="43" t="s">
        <v>133</v>
      </c>
      <c r="S135" s="44" t="s">
        <v>1358</v>
      </c>
      <c r="T135" s="61">
        <v>47413.0</v>
      </c>
      <c r="U135" s="39"/>
      <c r="V135" s="48"/>
      <c r="W135" s="57"/>
      <c r="X135" s="39"/>
      <c r="Y135" s="48"/>
      <c r="Z135" s="49">
        <v>46265.0</v>
      </c>
      <c r="AA135" s="39"/>
      <c r="AB135" s="38"/>
      <c r="AC135" s="38"/>
    </row>
    <row r="136" ht="14.25" customHeight="1">
      <c r="A136" s="39" t="s">
        <v>1286</v>
      </c>
      <c r="B136" s="39" t="s">
        <v>1351</v>
      </c>
      <c r="C136" s="39" t="s">
        <v>73</v>
      </c>
      <c r="D136" s="40" t="s">
        <v>1359</v>
      </c>
      <c r="E136" s="39" t="s">
        <v>1360</v>
      </c>
      <c r="F136" s="39" t="s">
        <v>76</v>
      </c>
      <c r="G136" s="39" t="s">
        <v>77</v>
      </c>
      <c r="H136" s="41" t="s">
        <v>1286</v>
      </c>
      <c r="I136" s="41" t="s">
        <v>73</v>
      </c>
      <c r="J136" s="50" t="s">
        <v>105</v>
      </c>
      <c r="K136" s="41" t="s">
        <v>79</v>
      </c>
      <c r="L136" s="39" t="s">
        <v>1361</v>
      </c>
      <c r="M136" s="39" t="s">
        <v>269</v>
      </c>
      <c r="N136" s="39" t="s">
        <v>1362</v>
      </c>
      <c r="O136" s="40" t="s">
        <v>1363</v>
      </c>
      <c r="P136" s="40"/>
      <c r="Q136" s="39" t="s">
        <v>1364</v>
      </c>
      <c r="R136" s="43" t="s">
        <v>1365</v>
      </c>
      <c r="S136" s="51" t="s">
        <v>1366</v>
      </c>
      <c r="T136" s="70">
        <v>45407.0</v>
      </c>
      <c r="U136" s="41" t="s">
        <v>1367</v>
      </c>
      <c r="V136" s="53">
        <v>9.93009003E8</v>
      </c>
      <c r="W136" s="60" t="s">
        <v>1368</v>
      </c>
      <c r="X136" s="39"/>
      <c r="Y136" s="48"/>
      <c r="Z136" s="49">
        <v>46265.0</v>
      </c>
      <c r="AA136" s="39"/>
      <c r="AB136" s="38"/>
      <c r="AC136" s="38"/>
    </row>
    <row r="137" ht="14.25" customHeight="1">
      <c r="A137" s="39" t="s">
        <v>1286</v>
      </c>
      <c r="B137" s="39" t="s">
        <v>342</v>
      </c>
      <c r="C137" s="39" t="s">
        <v>73</v>
      </c>
      <c r="D137" s="40" t="s">
        <v>1369</v>
      </c>
      <c r="E137" s="39" t="s">
        <v>1370</v>
      </c>
      <c r="F137" s="39" t="s">
        <v>76</v>
      </c>
      <c r="G137" s="39" t="s">
        <v>77</v>
      </c>
      <c r="H137" s="41" t="s">
        <v>1286</v>
      </c>
      <c r="I137" s="41" t="s">
        <v>73</v>
      </c>
      <c r="J137" s="42" t="s">
        <v>78</v>
      </c>
      <c r="K137" s="41" t="s">
        <v>79</v>
      </c>
      <c r="L137" s="39" t="s">
        <v>1371</v>
      </c>
      <c r="M137" s="39" t="s">
        <v>1372</v>
      </c>
      <c r="N137" s="39" t="s">
        <v>1373</v>
      </c>
      <c r="O137" s="40" t="s">
        <v>1374</v>
      </c>
      <c r="P137" s="40"/>
      <c r="Q137" s="39" t="s">
        <v>1375</v>
      </c>
      <c r="R137" s="43" t="s">
        <v>1376</v>
      </c>
      <c r="S137" s="44" t="s">
        <v>1377</v>
      </c>
      <c r="T137" s="61">
        <v>46731.0</v>
      </c>
      <c r="U137" s="41" t="s">
        <v>1378</v>
      </c>
      <c r="V137" s="53">
        <v>9.81362569E8</v>
      </c>
      <c r="W137" s="60" t="s">
        <v>1379</v>
      </c>
      <c r="X137" s="39"/>
      <c r="Y137" s="48"/>
      <c r="Z137" s="49">
        <v>46265.0</v>
      </c>
      <c r="AA137" s="39"/>
      <c r="AB137" s="38"/>
      <c r="AC137" s="38"/>
    </row>
    <row r="138" ht="14.25" customHeight="1">
      <c r="A138" s="39" t="s">
        <v>1286</v>
      </c>
      <c r="B138" s="39" t="s">
        <v>1380</v>
      </c>
      <c r="C138" s="39" t="s">
        <v>73</v>
      </c>
      <c r="D138" s="40" t="s">
        <v>1325</v>
      </c>
      <c r="E138" s="39" t="s">
        <v>1381</v>
      </c>
      <c r="F138" s="39" t="s">
        <v>76</v>
      </c>
      <c r="G138" s="39" t="s">
        <v>93</v>
      </c>
      <c r="H138" s="41" t="s">
        <v>1286</v>
      </c>
      <c r="I138" s="41" t="s">
        <v>73</v>
      </c>
      <c r="J138" s="50" t="s">
        <v>192</v>
      </c>
      <c r="K138" s="41" t="s">
        <v>79</v>
      </c>
      <c r="L138" s="39" t="s">
        <v>1382</v>
      </c>
      <c r="M138" s="39" t="s">
        <v>1383</v>
      </c>
      <c r="N138" s="39" t="s">
        <v>1384</v>
      </c>
      <c r="O138" s="40" t="s">
        <v>1385</v>
      </c>
      <c r="P138" s="40"/>
      <c r="Q138" s="39" t="s">
        <v>1330</v>
      </c>
      <c r="R138" s="43"/>
      <c r="S138" s="44" t="s">
        <v>86</v>
      </c>
      <c r="T138" s="48"/>
      <c r="U138" s="41" t="s">
        <v>1386</v>
      </c>
      <c r="V138" s="53">
        <v>9.963685E8</v>
      </c>
      <c r="W138" s="54" t="s">
        <v>1387</v>
      </c>
      <c r="X138" s="39"/>
      <c r="Y138" s="48"/>
      <c r="Z138" s="49">
        <v>46265.0</v>
      </c>
      <c r="AA138" s="39"/>
      <c r="AB138" s="38"/>
      <c r="AC138" s="38"/>
    </row>
    <row r="139" ht="14.25" customHeight="1">
      <c r="A139" s="39" t="s">
        <v>1286</v>
      </c>
      <c r="B139" s="39" t="s">
        <v>1380</v>
      </c>
      <c r="C139" s="39" t="s">
        <v>73</v>
      </c>
      <c r="D139" s="40" t="s">
        <v>1388</v>
      </c>
      <c r="E139" s="39" t="s">
        <v>1389</v>
      </c>
      <c r="F139" s="39" t="s">
        <v>76</v>
      </c>
      <c r="G139" s="39" t="s">
        <v>77</v>
      </c>
      <c r="H139" s="41" t="s">
        <v>1286</v>
      </c>
      <c r="I139" s="41" t="s">
        <v>73</v>
      </c>
      <c r="J139" s="42" t="s">
        <v>105</v>
      </c>
      <c r="K139" s="41" t="s">
        <v>79</v>
      </c>
      <c r="L139" s="39" t="s">
        <v>1390</v>
      </c>
      <c r="M139" s="39" t="s">
        <v>269</v>
      </c>
      <c r="N139" s="39" t="s">
        <v>1391</v>
      </c>
      <c r="O139" s="40" t="s">
        <v>1392</v>
      </c>
      <c r="P139" s="40"/>
      <c r="Q139" s="39" t="s">
        <v>1393</v>
      </c>
      <c r="R139" s="43"/>
      <c r="S139" s="51" t="s">
        <v>1394</v>
      </c>
      <c r="T139" s="70">
        <v>44676.0</v>
      </c>
      <c r="U139" s="41" t="s">
        <v>1395</v>
      </c>
      <c r="V139" s="53">
        <v>9.87119363E8</v>
      </c>
      <c r="W139" s="54" t="s">
        <v>1396</v>
      </c>
      <c r="X139" s="41" t="s">
        <v>1397</v>
      </c>
      <c r="Y139" s="75" t="s">
        <v>1398</v>
      </c>
      <c r="Z139" s="49">
        <v>46265.0</v>
      </c>
      <c r="AA139" s="39"/>
      <c r="AB139" s="38"/>
      <c r="AC139" s="38"/>
    </row>
    <row r="140" ht="14.25" customHeight="1">
      <c r="A140" s="39" t="s">
        <v>1286</v>
      </c>
      <c r="B140" s="39" t="s">
        <v>1380</v>
      </c>
      <c r="C140" s="39" t="s">
        <v>73</v>
      </c>
      <c r="D140" s="40" t="s">
        <v>1399</v>
      </c>
      <c r="E140" s="39" t="s">
        <v>1400</v>
      </c>
      <c r="F140" s="39" t="s">
        <v>76</v>
      </c>
      <c r="G140" s="39" t="s">
        <v>77</v>
      </c>
      <c r="H140" s="41" t="s">
        <v>1286</v>
      </c>
      <c r="I140" s="41" t="s">
        <v>73</v>
      </c>
      <c r="J140" s="50" t="s">
        <v>105</v>
      </c>
      <c r="K140" s="41" t="s">
        <v>79</v>
      </c>
      <c r="L140" s="39" t="s">
        <v>1401</v>
      </c>
      <c r="M140" s="39" t="s">
        <v>1402</v>
      </c>
      <c r="N140" s="39" t="s">
        <v>1403</v>
      </c>
      <c r="O140" s="40" t="s">
        <v>1404</v>
      </c>
      <c r="P140" s="40"/>
      <c r="Q140" s="39" t="s">
        <v>1405</v>
      </c>
      <c r="R140" s="43"/>
      <c r="S140" s="51" t="s">
        <v>1406</v>
      </c>
      <c r="T140" s="52">
        <v>44541.0</v>
      </c>
      <c r="U140" s="41" t="s">
        <v>1407</v>
      </c>
      <c r="V140" s="53">
        <v>9.84971175E8</v>
      </c>
      <c r="W140" s="54" t="s">
        <v>1408</v>
      </c>
      <c r="X140" s="41" t="s">
        <v>1409</v>
      </c>
      <c r="Y140" s="55" t="s">
        <v>1410</v>
      </c>
      <c r="Z140" s="49">
        <v>46265.0</v>
      </c>
      <c r="AA140" s="39"/>
      <c r="AB140" s="38"/>
      <c r="AC140" s="38"/>
    </row>
    <row r="141" ht="14.25" customHeight="1">
      <c r="A141" s="39" t="s">
        <v>1286</v>
      </c>
      <c r="B141" s="39" t="s">
        <v>1380</v>
      </c>
      <c r="C141" s="39" t="s">
        <v>73</v>
      </c>
      <c r="D141" s="40" t="s">
        <v>1411</v>
      </c>
      <c r="E141" s="39" t="s">
        <v>1412</v>
      </c>
      <c r="F141" s="39" t="s">
        <v>76</v>
      </c>
      <c r="G141" s="39" t="s">
        <v>77</v>
      </c>
      <c r="H141" s="41" t="s">
        <v>1286</v>
      </c>
      <c r="I141" s="41" t="s">
        <v>73</v>
      </c>
      <c r="J141" s="42" t="s">
        <v>78</v>
      </c>
      <c r="K141" s="41" t="s">
        <v>79</v>
      </c>
      <c r="L141" s="39" t="s">
        <v>1413</v>
      </c>
      <c r="M141" s="39" t="s">
        <v>1414</v>
      </c>
      <c r="N141" s="39" t="s">
        <v>1415</v>
      </c>
      <c r="O141" s="40" t="s">
        <v>1416</v>
      </c>
      <c r="P141" s="40"/>
      <c r="Q141" s="39" t="s">
        <v>1417</v>
      </c>
      <c r="R141" s="43" t="s">
        <v>1418</v>
      </c>
      <c r="S141" s="51" t="s">
        <v>1419</v>
      </c>
      <c r="T141" s="70">
        <v>45194.0</v>
      </c>
      <c r="U141" s="41" t="s">
        <v>1420</v>
      </c>
      <c r="V141" s="53">
        <v>9.92680419E8</v>
      </c>
      <c r="W141" s="60" t="s">
        <v>1421</v>
      </c>
      <c r="X141" s="39"/>
      <c r="Y141" s="48"/>
      <c r="Z141" s="49">
        <v>46265.0</v>
      </c>
      <c r="AA141" s="39"/>
      <c r="AB141" s="38"/>
      <c r="AC141" s="38"/>
    </row>
    <row r="142" ht="14.25" customHeight="1">
      <c r="A142" s="39" t="s">
        <v>1286</v>
      </c>
      <c r="B142" s="39" t="s">
        <v>1422</v>
      </c>
      <c r="C142" s="39" t="s">
        <v>126</v>
      </c>
      <c r="D142" s="40" t="s">
        <v>1423</v>
      </c>
      <c r="E142" s="39" t="s">
        <v>1424</v>
      </c>
      <c r="F142" s="39" t="s">
        <v>76</v>
      </c>
      <c r="G142" s="39" t="s">
        <v>202</v>
      </c>
      <c r="H142" s="41" t="s">
        <v>1286</v>
      </c>
      <c r="I142" s="39" t="s">
        <v>203</v>
      </c>
      <c r="J142" s="39" t="s">
        <v>129</v>
      </c>
      <c r="K142" s="39" t="s">
        <v>79</v>
      </c>
      <c r="L142" s="39" t="s">
        <v>1425</v>
      </c>
      <c r="M142" s="39" t="s">
        <v>1426</v>
      </c>
      <c r="N142" s="39"/>
      <c r="O142" s="40" t="s">
        <v>1427</v>
      </c>
      <c r="P142" s="40" t="s">
        <v>1428</v>
      </c>
      <c r="Q142" s="39"/>
      <c r="R142" s="43" t="s">
        <v>133</v>
      </c>
      <c r="S142" s="51" t="s">
        <v>1429</v>
      </c>
      <c r="T142" s="70">
        <v>46073.0</v>
      </c>
      <c r="U142" s="39"/>
      <c r="V142" s="48"/>
      <c r="W142" s="57"/>
      <c r="X142" s="39"/>
      <c r="Y142" s="48"/>
      <c r="Z142" s="49">
        <v>46265.0</v>
      </c>
      <c r="AA142" s="39"/>
      <c r="AB142" s="38"/>
      <c r="AC142" s="38"/>
    </row>
    <row r="143" ht="14.25" customHeight="1">
      <c r="A143" s="39" t="s">
        <v>1286</v>
      </c>
      <c r="B143" s="39" t="s">
        <v>1422</v>
      </c>
      <c r="C143" s="39" t="s">
        <v>126</v>
      </c>
      <c r="D143" s="40" t="s">
        <v>1430</v>
      </c>
      <c r="E143" s="39" t="s">
        <v>1431</v>
      </c>
      <c r="F143" s="39" t="s">
        <v>76</v>
      </c>
      <c r="G143" s="39" t="s">
        <v>202</v>
      </c>
      <c r="H143" s="41" t="s">
        <v>1286</v>
      </c>
      <c r="I143" s="39" t="s">
        <v>203</v>
      </c>
      <c r="J143" s="39" t="s">
        <v>129</v>
      </c>
      <c r="K143" s="39" t="s">
        <v>79</v>
      </c>
      <c r="L143" s="39" t="s">
        <v>1432</v>
      </c>
      <c r="M143" s="39" t="s">
        <v>1433</v>
      </c>
      <c r="N143" s="39"/>
      <c r="O143" s="40" t="s">
        <v>1434</v>
      </c>
      <c r="P143" s="40" t="s">
        <v>1435</v>
      </c>
      <c r="Q143" s="39"/>
      <c r="R143" s="43" t="s">
        <v>133</v>
      </c>
      <c r="S143" s="51" t="s">
        <v>1436</v>
      </c>
      <c r="T143" s="70">
        <v>46073.0</v>
      </c>
      <c r="U143" s="39"/>
      <c r="V143" s="48"/>
      <c r="W143" s="57"/>
      <c r="X143" s="39"/>
      <c r="Y143" s="48"/>
      <c r="Z143" s="49">
        <v>46265.0</v>
      </c>
      <c r="AA143" s="39"/>
      <c r="AB143" s="38"/>
      <c r="AC143" s="38"/>
    </row>
    <row r="144" ht="14.25" customHeight="1">
      <c r="A144" s="39" t="s">
        <v>1286</v>
      </c>
      <c r="B144" s="39" t="s">
        <v>1422</v>
      </c>
      <c r="C144" s="39" t="s">
        <v>73</v>
      </c>
      <c r="D144" s="40" t="s">
        <v>1437</v>
      </c>
      <c r="E144" s="39" t="s">
        <v>1438</v>
      </c>
      <c r="F144" s="39" t="s">
        <v>76</v>
      </c>
      <c r="G144" s="39" t="s">
        <v>77</v>
      </c>
      <c r="H144" s="41" t="s">
        <v>1286</v>
      </c>
      <c r="I144" s="41" t="s">
        <v>73</v>
      </c>
      <c r="J144" s="50" t="s">
        <v>105</v>
      </c>
      <c r="K144" s="41" t="s">
        <v>79</v>
      </c>
      <c r="L144" s="39" t="s">
        <v>1425</v>
      </c>
      <c r="M144" s="39"/>
      <c r="N144" s="39" t="s">
        <v>1439</v>
      </c>
      <c r="O144" s="40" t="s">
        <v>1427</v>
      </c>
      <c r="P144" s="40"/>
      <c r="Q144" s="39" t="s">
        <v>1440</v>
      </c>
      <c r="R144" s="43" t="s">
        <v>1441</v>
      </c>
      <c r="S144" s="44" t="s">
        <v>1442</v>
      </c>
      <c r="T144" s="61">
        <v>47411.0</v>
      </c>
      <c r="U144" s="41" t="s">
        <v>1443</v>
      </c>
      <c r="V144" s="53">
        <v>9.82689515E8</v>
      </c>
      <c r="W144" s="54" t="s">
        <v>1444</v>
      </c>
      <c r="X144" s="41" t="s">
        <v>1445</v>
      </c>
      <c r="Y144" s="55" t="s">
        <v>1446</v>
      </c>
      <c r="Z144" s="49">
        <v>46265.0</v>
      </c>
      <c r="AA144" s="39"/>
      <c r="AB144" s="38"/>
      <c r="AC144" s="38"/>
    </row>
    <row r="145" ht="14.25" customHeight="1">
      <c r="A145" s="39" t="s">
        <v>1286</v>
      </c>
      <c r="B145" s="39" t="s">
        <v>1422</v>
      </c>
      <c r="C145" s="39" t="s">
        <v>73</v>
      </c>
      <c r="D145" s="40" t="s">
        <v>1447</v>
      </c>
      <c r="E145" s="39" t="s">
        <v>1448</v>
      </c>
      <c r="F145" s="39" t="s">
        <v>76</v>
      </c>
      <c r="G145" s="39" t="s">
        <v>77</v>
      </c>
      <c r="H145" s="41" t="s">
        <v>1286</v>
      </c>
      <c r="I145" s="41" t="s">
        <v>73</v>
      </c>
      <c r="J145" s="42" t="s">
        <v>105</v>
      </c>
      <c r="K145" s="41" t="s">
        <v>79</v>
      </c>
      <c r="L145" s="39" t="s">
        <v>1425</v>
      </c>
      <c r="M145" s="39" t="s">
        <v>304</v>
      </c>
      <c r="N145" s="39" t="s">
        <v>1449</v>
      </c>
      <c r="O145" s="40" t="s">
        <v>1427</v>
      </c>
      <c r="P145" s="40"/>
      <c r="Q145" s="39" t="s">
        <v>1450</v>
      </c>
      <c r="R145" s="43" t="s">
        <v>1451</v>
      </c>
      <c r="S145" s="51" t="s">
        <v>1452</v>
      </c>
      <c r="T145" s="70">
        <v>45929.0</v>
      </c>
      <c r="U145" s="41" t="s">
        <v>1453</v>
      </c>
      <c r="V145" s="53">
        <v>9.8809052E8</v>
      </c>
      <c r="W145" s="54" t="s">
        <v>1454</v>
      </c>
      <c r="X145" s="39"/>
      <c r="Y145" s="48"/>
      <c r="Z145" s="49">
        <v>46265.0</v>
      </c>
      <c r="AA145" s="39"/>
      <c r="AB145" s="38"/>
      <c r="AC145" s="38"/>
    </row>
    <row r="146" ht="14.25" customHeight="1">
      <c r="A146" s="39" t="s">
        <v>1286</v>
      </c>
      <c r="B146" s="39" t="s">
        <v>1422</v>
      </c>
      <c r="C146" s="39" t="s">
        <v>73</v>
      </c>
      <c r="D146" s="40" t="s">
        <v>1455</v>
      </c>
      <c r="E146" s="39" t="s">
        <v>1456</v>
      </c>
      <c r="F146" s="39" t="s">
        <v>76</v>
      </c>
      <c r="G146" s="39" t="s">
        <v>77</v>
      </c>
      <c r="H146" s="41" t="s">
        <v>1286</v>
      </c>
      <c r="I146" s="41" t="s">
        <v>73</v>
      </c>
      <c r="J146" s="50" t="s">
        <v>105</v>
      </c>
      <c r="K146" s="41" t="s">
        <v>79</v>
      </c>
      <c r="L146" s="39" t="s">
        <v>1425</v>
      </c>
      <c r="M146" s="39" t="s">
        <v>269</v>
      </c>
      <c r="N146" s="39" t="s">
        <v>1457</v>
      </c>
      <c r="O146" s="40" t="s">
        <v>1427</v>
      </c>
      <c r="P146" s="40"/>
      <c r="Q146" s="39" t="s">
        <v>1458</v>
      </c>
      <c r="R146" s="43" t="s">
        <v>1459</v>
      </c>
      <c r="S146" s="44" t="s">
        <v>1460</v>
      </c>
      <c r="T146" s="61">
        <v>46741.0</v>
      </c>
      <c r="U146" s="41" t="s">
        <v>1461</v>
      </c>
      <c r="V146" s="53">
        <v>9.93206602E8</v>
      </c>
      <c r="W146" s="54" t="s">
        <v>1462</v>
      </c>
      <c r="X146" s="41" t="s">
        <v>1463</v>
      </c>
      <c r="Y146" s="55" t="s">
        <v>1464</v>
      </c>
      <c r="Z146" s="49">
        <v>46265.0</v>
      </c>
      <c r="AA146" s="39"/>
      <c r="AB146" s="38"/>
      <c r="AC146" s="38"/>
    </row>
    <row r="147" ht="14.25" customHeight="1">
      <c r="A147" s="39" t="s">
        <v>1286</v>
      </c>
      <c r="B147" s="39" t="s">
        <v>1422</v>
      </c>
      <c r="C147" s="39" t="s">
        <v>73</v>
      </c>
      <c r="D147" s="40" t="s">
        <v>1465</v>
      </c>
      <c r="E147" s="39" t="s">
        <v>1466</v>
      </c>
      <c r="F147" s="39" t="s">
        <v>76</v>
      </c>
      <c r="G147" s="39" t="s">
        <v>77</v>
      </c>
      <c r="H147" s="41" t="s">
        <v>1286</v>
      </c>
      <c r="I147" s="41" t="s">
        <v>73</v>
      </c>
      <c r="J147" s="42" t="s">
        <v>105</v>
      </c>
      <c r="K147" s="41" t="s">
        <v>79</v>
      </c>
      <c r="L147" s="39" t="s">
        <v>1425</v>
      </c>
      <c r="M147" s="39" t="s">
        <v>269</v>
      </c>
      <c r="N147" s="39" t="s">
        <v>1467</v>
      </c>
      <c r="O147" s="40" t="s">
        <v>1427</v>
      </c>
      <c r="P147" s="40"/>
      <c r="Q147" s="39" t="s">
        <v>1468</v>
      </c>
      <c r="R147" s="43" t="s">
        <v>1469</v>
      </c>
      <c r="S147" s="44" t="s">
        <v>1470</v>
      </c>
      <c r="T147" s="45">
        <v>46650.0</v>
      </c>
      <c r="U147" s="41" t="s">
        <v>1471</v>
      </c>
      <c r="V147" s="53">
        <v>9.88535347E8</v>
      </c>
      <c r="W147" s="54" t="s">
        <v>1472</v>
      </c>
      <c r="X147" s="41" t="s">
        <v>1473</v>
      </c>
      <c r="Y147" s="55" t="s">
        <v>1474</v>
      </c>
      <c r="Z147" s="49">
        <v>46265.0</v>
      </c>
      <c r="AA147" s="39"/>
      <c r="AB147" s="38"/>
      <c r="AC147" s="38"/>
    </row>
    <row r="148" ht="14.25" customHeight="1">
      <c r="A148" s="39" t="s">
        <v>1286</v>
      </c>
      <c r="B148" s="39" t="s">
        <v>1422</v>
      </c>
      <c r="C148" s="39" t="s">
        <v>126</v>
      </c>
      <c r="D148" s="40" t="s">
        <v>1475</v>
      </c>
      <c r="E148" s="39" t="s">
        <v>1476</v>
      </c>
      <c r="F148" s="39" t="s">
        <v>76</v>
      </c>
      <c r="G148" s="39" t="s">
        <v>202</v>
      </c>
      <c r="H148" s="41" t="s">
        <v>1286</v>
      </c>
      <c r="I148" s="39" t="s">
        <v>203</v>
      </c>
      <c r="J148" s="39" t="s">
        <v>129</v>
      </c>
      <c r="K148" s="39" t="s">
        <v>79</v>
      </c>
      <c r="L148" s="39" t="s">
        <v>1477</v>
      </c>
      <c r="M148" s="39" t="s">
        <v>1478</v>
      </c>
      <c r="N148" s="39"/>
      <c r="O148" s="40" t="s">
        <v>1479</v>
      </c>
      <c r="P148" s="40" t="s">
        <v>1480</v>
      </c>
      <c r="Q148" s="39"/>
      <c r="R148" s="43" t="s">
        <v>133</v>
      </c>
      <c r="S148" s="51" t="s">
        <v>1481</v>
      </c>
      <c r="T148" s="52">
        <v>45617.0</v>
      </c>
      <c r="U148" s="39"/>
      <c r="V148" s="48"/>
      <c r="W148" s="57"/>
      <c r="X148" s="39"/>
      <c r="Y148" s="48"/>
      <c r="Z148" s="49">
        <v>46265.0</v>
      </c>
      <c r="AA148" s="39"/>
      <c r="AB148" s="38"/>
      <c r="AC148" s="38"/>
    </row>
    <row r="149" ht="14.25" customHeight="1">
      <c r="A149" s="39" t="s">
        <v>1286</v>
      </c>
      <c r="B149" s="39" t="s">
        <v>1482</v>
      </c>
      <c r="C149" s="39" t="s">
        <v>126</v>
      </c>
      <c r="D149" s="40" t="s">
        <v>1483</v>
      </c>
      <c r="E149" s="39" t="s">
        <v>1484</v>
      </c>
      <c r="F149" s="39" t="s">
        <v>76</v>
      </c>
      <c r="G149" s="39" t="s">
        <v>202</v>
      </c>
      <c r="H149" s="41" t="s">
        <v>1286</v>
      </c>
      <c r="I149" s="39" t="s">
        <v>203</v>
      </c>
      <c r="J149" s="39" t="s">
        <v>129</v>
      </c>
      <c r="K149" s="39" t="s">
        <v>79</v>
      </c>
      <c r="L149" s="39" t="s">
        <v>1485</v>
      </c>
      <c r="M149" s="39" t="s">
        <v>293</v>
      </c>
      <c r="N149" s="39"/>
      <c r="O149" s="40" t="s">
        <v>1486</v>
      </c>
      <c r="P149" s="40"/>
      <c r="Q149" s="39"/>
      <c r="R149" s="43" t="s">
        <v>133</v>
      </c>
      <c r="S149" s="44" t="s">
        <v>86</v>
      </c>
      <c r="T149" s="48"/>
      <c r="U149" s="39"/>
      <c r="V149" s="48"/>
      <c r="W149" s="57"/>
      <c r="X149" s="39"/>
      <c r="Y149" s="48"/>
      <c r="Z149" s="49">
        <v>46265.0</v>
      </c>
      <c r="AA149" s="39"/>
      <c r="AB149" s="38"/>
      <c r="AC149" s="38"/>
    </row>
    <row r="150" ht="14.25" customHeight="1">
      <c r="A150" s="39" t="s">
        <v>1286</v>
      </c>
      <c r="B150" s="39" t="s">
        <v>1482</v>
      </c>
      <c r="C150" s="39" t="s">
        <v>126</v>
      </c>
      <c r="D150" s="40" t="s">
        <v>127</v>
      </c>
      <c r="E150" s="39" t="s">
        <v>1487</v>
      </c>
      <c r="F150" s="39" t="s">
        <v>76</v>
      </c>
      <c r="G150" s="39" t="s">
        <v>93</v>
      </c>
      <c r="H150" s="41" t="s">
        <v>1286</v>
      </c>
      <c r="I150" s="39"/>
      <c r="J150" s="39" t="s">
        <v>129</v>
      </c>
      <c r="K150" s="39" t="s">
        <v>79</v>
      </c>
      <c r="L150" s="39" t="s">
        <v>1488</v>
      </c>
      <c r="M150" s="39" t="s">
        <v>904</v>
      </c>
      <c r="N150" s="39"/>
      <c r="O150" s="40" t="s">
        <v>1489</v>
      </c>
      <c r="P150" s="40"/>
      <c r="Q150" s="39"/>
      <c r="R150" s="43" t="s">
        <v>133</v>
      </c>
      <c r="S150" s="44" t="s">
        <v>86</v>
      </c>
      <c r="T150" s="48"/>
      <c r="U150" s="39"/>
      <c r="V150" s="48"/>
      <c r="W150" s="57"/>
      <c r="X150" s="39"/>
      <c r="Y150" s="48"/>
      <c r="Z150" s="49">
        <v>46265.0</v>
      </c>
      <c r="AA150" s="39"/>
      <c r="AB150" s="38"/>
      <c r="AC150" s="38"/>
    </row>
    <row r="151" ht="14.25" customHeight="1">
      <c r="A151" s="39" t="s">
        <v>1286</v>
      </c>
      <c r="B151" s="39" t="s">
        <v>1482</v>
      </c>
      <c r="C151" s="39" t="s">
        <v>126</v>
      </c>
      <c r="D151" s="40" t="s">
        <v>1490</v>
      </c>
      <c r="E151" s="39" t="s">
        <v>1491</v>
      </c>
      <c r="F151" s="39" t="s">
        <v>76</v>
      </c>
      <c r="G151" s="39" t="s">
        <v>202</v>
      </c>
      <c r="H151" s="41" t="s">
        <v>1286</v>
      </c>
      <c r="I151" s="39" t="s">
        <v>203</v>
      </c>
      <c r="J151" s="39" t="s">
        <v>129</v>
      </c>
      <c r="K151" s="39" t="s">
        <v>79</v>
      </c>
      <c r="L151" s="39" t="s">
        <v>1492</v>
      </c>
      <c r="M151" s="39" t="s">
        <v>1493</v>
      </c>
      <c r="N151" s="39"/>
      <c r="O151" s="40" t="s">
        <v>1494</v>
      </c>
      <c r="P151" s="40"/>
      <c r="Q151" s="39"/>
      <c r="R151" s="43" t="s">
        <v>133</v>
      </c>
      <c r="S151" s="51" t="s">
        <v>1495</v>
      </c>
      <c r="T151" s="52">
        <v>45638.0</v>
      </c>
      <c r="U151" s="39"/>
      <c r="V151" s="48"/>
      <c r="W151" s="57"/>
      <c r="X151" s="39"/>
      <c r="Y151" s="48"/>
      <c r="Z151" s="49">
        <v>46265.0</v>
      </c>
      <c r="AA151" s="39"/>
      <c r="AB151" s="38"/>
      <c r="AC151" s="38"/>
    </row>
    <row r="152" ht="14.25" customHeight="1">
      <c r="A152" s="39" t="s">
        <v>1286</v>
      </c>
      <c r="B152" s="39" t="s">
        <v>1482</v>
      </c>
      <c r="C152" s="39" t="s">
        <v>73</v>
      </c>
      <c r="D152" s="40" t="s">
        <v>1496</v>
      </c>
      <c r="E152" s="39" t="s">
        <v>1497</v>
      </c>
      <c r="F152" s="39" t="s">
        <v>76</v>
      </c>
      <c r="G152" s="39" t="s">
        <v>77</v>
      </c>
      <c r="H152" s="41" t="s">
        <v>1286</v>
      </c>
      <c r="I152" s="41" t="s">
        <v>73</v>
      </c>
      <c r="J152" s="50" t="s">
        <v>105</v>
      </c>
      <c r="K152" s="41" t="s">
        <v>79</v>
      </c>
      <c r="L152" s="39" t="s">
        <v>1485</v>
      </c>
      <c r="M152" s="39" t="s">
        <v>269</v>
      </c>
      <c r="N152" s="39" t="s">
        <v>1498</v>
      </c>
      <c r="O152" s="40" t="s">
        <v>1486</v>
      </c>
      <c r="P152" s="40"/>
      <c r="Q152" s="39" t="s">
        <v>1499</v>
      </c>
      <c r="R152" s="43" t="s">
        <v>1500</v>
      </c>
      <c r="S152" s="44" t="s">
        <v>1501</v>
      </c>
      <c r="T152" s="45">
        <v>47608.0</v>
      </c>
      <c r="U152" s="42" t="s">
        <v>1502</v>
      </c>
      <c r="V152" s="46">
        <v>9.80415491E8</v>
      </c>
      <c r="W152" s="54" t="s">
        <v>1503</v>
      </c>
      <c r="X152" s="41" t="s">
        <v>1504</v>
      </c>
      <c r="Y152" s="55" t="s">
        <v>1505</v>
      </c>
      <c r="Z152" s="49">
        <v>46265.0</v>
      </c>
      <c r="AA152" s="39"/>
      <c r="AB152" s="38"/>
      <c r="AC152" s="38"/>
    </row>
    <row r="153" ht="14.25" customHeight="1">
      <c r="A153" s="39" t="s">
        <v>1286</v>
      </c>
      <c r="B153" s="39" t="s">
        <v>1482</v>
      </c>
      <c r="C153" s="39" t="s">
        <v>73</v>
      </c>
      <c r="D153" s="40" t="s">
        <v>1506</v>
      </c>
      <c r="E153" s="39" t="s">
        <v>1507</v>
      </c>
      <c r="F153" s="39" t="s">
        <v>76</v>
      </c>
      <c r="G153" s="39" t="s">
        <v>77</v>
      </c>
      <c r="H153" s="41" t="s">
        <v>1286</v>
      </c>
      <c r="I153" s="41" t="s">
        <v>73</v>
      </c>
      <c r="J153" s="42" t="s">
        <v>105</v>
      </c>
      <c r="K153" s="41" t="s">
        <v>79</v>
      </c>
      <c r="L153" s="39" t="s">
        <v>1508</v>
      </c>
      <c r="M153" s="39" t="s">
        <v>269</v>
      </c>
      <c r="N153" s="39" t="s">
        <v>1509</v>
      </c>
      <c r="O153" s="40" t="s">
        <v>1510</v>
      </c>
      <c r="P153" s="40"/>
      <c r="Q153" s="39" t="s">
        <v>1511</v>
      </c>
      <c r="R153" s="43"/>
      <c r="S153" s="51" t="s">
        <v>1512</v>
      </c>
      <c r="T153" s="52">
        <v>44906.0</v>
      </c>
      <c r="U153" s="41" t="s">
        <v>1513</v>
      </c>
      <c r="V153" s="53">
        <v>9.80594679E8</v>
      </c>
      <c r="W153" s="60" t="s">
        <v>1514</v>
      </c>
      <c r="X153" s="41" t="s">
        <v>1515</v>
      </c>
      <c r="Y153" s="55" t="s">
        <v>1516</v>
      </c>
      <c r="Z153" s="49">
        <v>46265.0</v>
      </c>
      <c r="AA153" s="39"/>
      <c r="AB153" s="38"/>
      <c r="AC153" s="38"/>
    </row>
    <row r="154" ht="14.25" customHeight="1">
      <c r="A154" s="39" t="s">
        <v>1286</v>
      </c>
      <c r="B154" s="39" t="s">
        <v>1482</v>
      </c>
      <c r="C154" s="39" t="s">
        <v>73</v>
      </c>
      <c r="D154" s="40" t="s">
        <v>1517</v>
      </c>
      <c r="E154" s="39" t="s">
        <v>1518</v>
      </c>
      <c r="F154" s="39" t="s">
        <v>76</v>
      </c>
      <c r="G154" s="39" t="s">
        <v>77</v>
      </c>
      <c r="H154" s="41" t="s">
        <v>1286</v>
      </c>
      <c r="I154" s="41" t="s">
        <v>73</v>
      </c>
      <c r="J154" s="50" t="s">
        <v>105</v>
      </c>
      <c r="K154" s="41" t="s">
        <v>79</v>
      </c>
      <c r="L154" s="39" t="s">
        <v>1508</v>
      </c>
      <c r="M154" s="39" t="s">
        <v>269</v>
      </c>
      <c r="N154" s="39" t="s">
        <v>1519</v>
      </c>
      <c r="O154" s="40" t="s">
        <v>1510</v>
      </c>
      <c r="P154" s="40"/>
      <c r="Q154" s="39" t="s">
        <v>1520</v>
      </c>
      <c r="R154" s="43" t="s">
        <v>1521</v>
      </c>
      <c r="S154" s="51" t="s">
        <v>1522</v>
      </c>
      <c r="T154" s="70">
        <v>45082.0</v>
      </c>
      <c r="U154" s="41" t="s">
        <v>1523</v>
      </c>
      <c r="V154" s="53">
        <v>9.99664156E8</v>
      </c>
      <c r="W154" s="54" t="s">
        <v>1524</v>
      </c>
      <c r="X154" s="39"/>
      <c r="Y154" s="48"/>
      <c r="Z154" s="49">
        <v>46265.0</v>
      </c>
      <c r="AA154" s="39"/>
      <c r="AB154" s="38"/>
      <c r="AC154" s="38"/>
    </row>
    <row r="155" ht="14.25" customHeight="1">
      <c r="A155" s="39" t="s">
        <v>1286</v>
      </c>
      <c r="B155" s="39" t="s">
        <v>1525</v>
      </c>
      <c r="C155" s="39" t="s">
        <v>73</v>
      </c>
      <c r="D155" s="40" t="s">
        <v>1526</v>
      </c>
      <c r="E155" s="39" t="s">
        <v>1527</v>
      </c>
      <c r="F155" s="39" t="s">
        <v>76</v>
      </c>
      <c r="G155" s="39" t="s">
        <v>77</v>
      </c>
      <c r="H155" s="41" t="s">
        <v>1286</v>
      </c>
      <c r="I155" s="41" t="s">
        <v>73</v>
      </c>
      <c r="J155" s="42" t="s">
        <v>105</v>
      </c>
      <c r="K155" s="41" t="s">
        <v>79</v>
      </c>
      <c r="L155" s="39" t="s">
        <v>1528</v>
      </c>
      <c r="M155" s="39" t="s">
        <v>269</v>
      </c>
      <c r="N155" s="39" t="s">
        <v>1529</v>
      </c>
      <c r="O155" s="40" t="s">
        <v>1530</v>
      </c>
      <c r="P155" s="40"/>
      <c r="Q155" s="39" t="s">
        <v>1531</v>
      </c>
      <c r="R155" s="43" t="s">
        <v>1532</v>
      </c>
      <c r="S155" s="44" t="s">
        <v>1533</v>
      </c>
      <c r="T155" s="45">
        <v>47169.0</v>
      </c>
      <c r="U155" s="41" t="s">
        <v>1534</v>
      </c>
      <c r="V155" s="53">
        <v>9.99659998E8</v>
      </c>
      <c r="W155" s="54" t="s">
        <v>1535</v>
      </c>
      <c r="X155" s="41" t="s">
        <v>1536</v>
      </c>
      <c r="Y155" s="55" t="s">
        <v>1537</v>
      </c>
      <c r="Z155" s="49">
        <v>46265.0</v>
      </c>
      <c r="AA155" s="39"/>
      <c r="AB155" s="38"/>
      <c r="AC155" s="38"/>
    </row>
    <row r="156" ht="14.25" customHeight="1">
      <c r="A156" s="39" t="s">
        <v>1286</v>
      </c>
      <c r="B156" s="39" t="s">
        <v>1538</v>
      </c>
      <c r="C156" s="39" t="s">
        <v>73</v>
      </c>
      <c r="D156" s="40" t="s">
        <v>1539</v>
      </c>
      <c r="E156" s="39" t="s">
        <v>1540</v>
      </c>
      <c r="F156" s="39" t="s">
        <v>76</v>
      </c>
      <c r="G156" s="39" t="s">
        <v>77</v>
      </c>
      <c r="H156" s="41" t="s">
        <v>1286</v>
      </c>
      <c r="I156" s="41" t="s">
        <v>73</v>
      </c>
      <c r="J156" s="50" t="s">
        <v>105</v>
      </c>
      <c r="K156" s="41" t="s">
        <v>79</v>
      </c>
      <c r="L156" s="39" t="s">
        <v>1541</v>
      </c>
      <c r="M156" s="39" t="s">
        <v>1542</v>
      </c>
      <c r="N156" s="39" t="s">
        <v>1543</v>
      </c>
      <c r="O156" s="40" t="s">
        <v>1544</v>
      </c>
      <c r="P156" s="40"/>
      <c r="Q156" s="39" t="s">
        <v>1545</v>
      </c>
      <c r="R156" s="43" t="s">
        <v>1546</v>
      </c>
      <c r="S156" s="51" t="s">
        <v>1547</v>
      </c>
      <c r="T156" s="70">
        <v>45515.0</v>
      </c>
      <c r="U156" s="41" t="s">
        <v>1548</v>
      </c>
      <c r="V156" s="53">
        <v>9.92130022E8</v>
      </c>
      <c r="W156" s="54" t="s">
        <v>1549</v>
      </c>
      <c r="X156" s="41" t="s">
        <v>1550</v>
      </c>
      <c r="Y156" s="55" t="s">
        <v>1551</v>
      </c>
      <c r="Z156" s="49">
        <v>46265.0</v>
      </c>
      <c r="AA156" s="39"/>
      <c r="AB156" s="38"/>
      <c r="AC156" s="38"/>
    </row>
    <row r="157" ht="14.25" customHeight="1">
      <c r="A157" s="39" t="s">
        <v>1286</v>
      </c>
      <c r="B157" s="39" t="s">
        <v>1538</v>
      </c>
      <c r="C157" s="39" t="s">
        <v>73</v>
      </c>
      <c r="D157" s="40" t="s">
        <v>1552</v>
      </c>
      <c r="E157" s="39" t="s">
        <v>1553</v>
      </c>
      <c r="F157" s="39" t="s">
        <v>76</v>
      </c>
      <c r="G157" s="39" t="s">
        <v>77</v>
      </c>
      <c r="H157" s="41" t="s">
        <v>1286</v>
      </c>
      <c r="I157" s="41" t="s">
        <v>73</v>
      </c>
      <c r="J157" s="42" t="s">
        <v>105</v>
      </c>
      <c r="K157" s="41" t="s">
        <v>79</v>
      </c>
      <c r="L157" s="39" t="s">
        <v>1554</v>
      </c>
      <c r="M157" s="39" t="s">
        <v>1555</v>
      </c>
      <c r="N157" s="39" t="s">
        <v>1556</v>
      </c>
      <c r="O157" s="40" t="s">
        <v>1557</v>
      </c>
      <c r="P157" s="40"/>
      <c r="Q157" s="39" t="s">
        <v>1558</v>
      </c>
      <c r="R157" s="43" t="s">
        <v>1559</v>
      </c>
      <c r="S157" s="44" t="s">
        <v>1560</v>
      </c>
      <c r="T157" s="45">
        <v>47608.0</v>
      </c>
      <c r="U157" s="41" t="s">
        <v>1561</v>
      </c>
      <c r="V157" s="53">
        <v>9.85722882E8</v>
      </c>
      <c r="W157" s="54" t="s">
        <v>1562</v>
      </c>
      <c r="X157" s="41" t="s">
        <v>1563</v>
      </c>
      <c r="Y157" s="55" t="s">
        <v>1564</v>
      </c>
      <c r="Z157" s="49">
        <v>46265.0</v>
      </c>
      <c r="AA157" s="39"/>
      <c r="AB157" s="38"/>
      <c r="AC157" s="38"/>
    </row>
    <row r="158" ht="14.25" customHeight="1">
      <c r="A158" s="39" t="s">
        <v>1286</v>
      </c>
      <c r="B158" s="39" t="s">
        <v>1538</v>
      </c>
      <c r="C158" s="39" t="s">
        <v>73</v>
      </c>
      <c r="D158" s="40" t="s">
        <v>1565</v>
      </c>
      <c r="E158" s="39" t="s">
        <v>1566</v>
      </c>
      <c r="F158" s="39" t="s">
        <v>76</v>
      </c>
      <c r="G158" s="39" t="s">
        <v>77</v>
      </c>
      <c r="H158" s="41" t="s">
        <v>1286</v>
      </c>
      <c r="I158" s="41" t="s">
        <v>73</v>
      </c>
      <c r="J158" s="50" t="s">
        <v>105</v>
      </c>
      <c r="K158" s="41" t="s">
        <v>79</v>
      </c>
      <c r="L158" s="39" t="s">
        <v>1567</v>
      </c>
      <c r="M158" s="39" t="s">
        <v>269</v>
      </c>
      <c r="N158" s="39" t="s">
        <v>1568</v>
      </c>
      <c r="O158" s="40" t="s">
        <v>1569</v>
      </c>
      <c r="P158" s="40"/>
      <c r="Q158" s="39" t="s">
        <v>1570</v>
      </c>
      <c r="R158" s="43"/>
      <c r="S158" s="44" t="s">
        <v>1571</v>
      </c>
      <c r="T158" s="61">
        <v>47462.0</v>
      </c>
      <c r="U158" s="41" t="s">
        <v>1572</v>
      </c>
      <c r="V158" s="53">
        <v>9.98282836E8</v>
      </c>
      <c r="W158" s="54" t="s">
        <v>1573</v>
      </c>
      <c r="X158" s="41" t="s">
        <v>1574</v>
      </c>
      <c r="Y158" s="55" t="s">
        <v>1575</v>
      </c>
      <c r="Z158" s="49">
        <v>46265.0</v>
      </c>
      <c r="AA158" s="39"/>
      <c r="AB158" s="38"/>
      <c r="AC158" s="38"/>
    </row>
    <row r="159" ht="14.25" customHeight="1">
      <c r="A159" s="39" t="s">
        <v>1286</v>
      </c>
      <c r="B159" s="39" t="s">
        <v>1538</v>
      </c>
      <c r="C159" s="39" t="s">
        <v>73</v>
      </c>
      <c r="D159" s="40" t="s">
        <v>1576</v>
      </c>
      <c r="E159" s="39" t="s">
        <v>1577</v>
      </c>
      <c r="F159" s="39" t="s">
        <v>76</v>
      </c>
      <c r="G159" s="39" t="s">
        <v>77</v>
      </c>
      <c r="H159" s="41" t="s">
        <v>1286</v>
      </c>
      <c r="I159" s="41" t="s">
        <v>73</v>
      </c>
      <c r="J159" s="42" t="s">
        <v>105</v>
      </c>
      <c r="K159" s="41" t="s">
        <v>79</v>
      </c>
      <c r="L159" s="39" t="s">
        <v>1578</v>
      </c>
      <c r="M159" s="39" t="s">
        <v>269</v>
      </c>
      <c r="N159" s="39" t="s">
        <v>1579</v>
      </c>
      <c r="O159" s="40" t="s">
        <v>1580</v>
      </c>
      <c r="P159" s="40"/>
      <c r="Q159" s="39" t="s">
        <v>1581</v>
      </c>
      <c r="R159" s="43" t="s">
        <v>1582</v>
      </c>
      <c r="S159" s="51" t="s">
        <v>1583</v>
      </c>
      <c r="T159" s="70">
        <v>45089.0</v>
      </c>
      <c r="U159" s="42" t="s">
        <v>1584</v>
      </c>
      <c r="V159" s="46">
        <v>9.9621105E8</v>
      </c>
      <c r="W159" s="47" t="s">
        <v>1585</v>
      </c>
      <c r="X159" s="41" t="s">
        <v>1586</v>
      </c>
      <c r="Y159" s="55" t="s">
        <v>1587</v>
      </c>
      <c r="Z159" s="49">
        <v>46265.0</v>
      </c>
      <c r="AA159" s="39"/>
      <c r="AB159" s="38"/>
      <c r="AC159" s="38"/>
    </row>
    <row r="160" ht="14.25" customHeight="1">
      <c r="A160" s="39" t="s">
        <v>1286</v>
      </c>
      <c r="B160" s="39" t="s">
        <v>1538</v>
      </c>
      <c r="C160" s="39" t="s">
        <v>73</v>
      </c>
      <c r="D160" s="40" t="s">
        <v>1588</v>
      </c>
      <c r="E160" s="39" t="s">
        <v>1589</v>
      </c>
      <c r="F160" s="39" t="s">
        <v>76</v>
      </c>
      <c r="G160" s="39" t="s">
        <v>77</v>
      </c>
      <c r="H160" s="41" t="s">
        <v>1286</v>
      </c>
      <c r="I160" s="41" t="s">
        <v>73</v>
      </c>
      <c r="J160" s="50" t="s">
        <v>105</v>
      </c>
      <c r="K160" s="41" t="s">
        <v>79</v>
      </c>
      <c r="L160" s="39" t="s">
        <v>1590</v>
      </c>
      <c r="M160" s="39" t="s">
        <v>1591</v>
      </c>
      <c r="N160" s="39" t="s">
        <v>1592</v>
      </c>
      <c r="O160" s="40" t="s">
        <v>1593</v>
      </c>
      <c r="P160" s="40"/>
      <c r="Q160" s="39" t="s">
        <v>1594</v>
      </c>
      <c r="R160" s="43"/>
      <c r="S160" s="44" t="s">
        <v>1595</v>
      </c>
      <c r="T160" s="61">
        <v>47835.0</v>
      </c>
      <c r="U160" s="41" t="s">
        <v>1596</v>
      </c>
      <c r="V160" s="53">
        <v>9.81191763E8</v>
      </c>
      <c r="W160" s="60" t="s">
        <v>1597</v>
      </c>
      <c r="X160" s="41" t="s">
        <v>1598</v>
      </c>
      <c r="Y160" s="55" t="s">
        <v>1599</v>
      </c>
      <c r="Z160" s="49">
        <v>46265.0</v>
      </c>
      <c r="AA160" s="39"/>
      <c r="AB160" s="38"/>
      <c r="AC160" s="38"/>
    </row>
    <row r="161" ht="14.25" customHeight="1">
      <c r="A161" s="39" t="s">
        <v>1286</v>
      </c>
      <c r="B161" s="39" t="s">
        <v>1538</v>
      </c>
      <c r="C161" s="39" t="s">
        <v>126</v>
      </c>
      <c r="D161" s="40" t="s">
        <v>1600</v>
      </c>
      <c r="E161" s="39" t="s">
        <v>1601</v>
      </c>
      <c r="F161" s="39" t="s">
        <v>76</v>
      </c>
      <c r="G161" s="39" t="s">
        <v>202</v>
      </c>
      <c r="H161" s="41" t="s">
        <v>1286</v>
      </c>
      <c r="I161" s="39" t="s">
        <v>203</v>
      </c>
      <c r="J161" s="39" t="s">
        <v>129</v>
      </c>
      <c r="K161" s="39" t="s">
        <v>79</v>
      </c>
      <c r="L161" s="39" t="s">
        <v>1541</v>
      </c>
      <c r="M161" s="39" t="s">
        <v>1602</v>
      </c>
      <c r="N161" s="39"/>
      <c r="O161" s="40" t="s">
        <v>1544</v>
      </c>
      <c r="P161" s="40"/>
      <c r="Q161" s="39"/>
      <c r="R161" s="43" t="s">
        <v>133</v>
      </c>
      <c r="S161" s="44" t="s">
        <v>1603</v>
      </c>
      <c r="T161" s="45">
        <v>46638.0</v>
      </c>
      <c r="U161" s="39"/>
      <c r="V161" s="48"/>
      <c r="W161" s="57"/>
      <c r="X161" s="39"/>
      <c r="Y161" s="48"/>
      <c r="Z161" s="49">
        <v>46265.0</v>
      </c>
      <c r="AA161" s="39"/>
      <c r="AB161" s="38"/>
      <c r="AC161" s="38"/>
    </row>
    <row r="162" ht="14.25" customHeight="1">
      <c r="A162" s="39" t="s">
        <v>1604</v>
      </c>
      <c r="B162" s="39" t="s">
        <v>1605</v>
      </c>
      <c r="C162" s="39" t="s">
        <v>73</v>
      </c>
      <c r="D162" s="40" t="s">
        <v>1606</v>
      </c>
      <c r="E162" s="39" t="s">
        <v>1607</v>
      </c>
      <c r="F162" s="39" t="s">
        <v>76</v>
      </c>
      <c r="G162" s="39" t="s">
        <v>77</v>
      </c>
      <c r="H162" s="41" t="s">
        <v>1604</v>
      </c>
      <c r="I162" s="41" t="s">
        <v>73</v>
      </c>
      <c r="J162" s="50" t="s">
        <v>105</v>
      </c>
      <c r="K162" s="41" t="s">
        <v>1608</v>
      </c>
      <c r="L162" s="39" t="s">
        <v>1609</v>
      </c>
      <c r="M162" s="39" t="s">
        <v>304</v>
      </c>
      <c r="N162" s="39" t="s">
        <v>1610</v>
      </c>
      <c r="O162" s="40" t="s">
        <v>1611</v>
      </c>
      <c r="P162" s="40"/>
      <c r="Q162" s="39" t="s">
        <v>1612</v>
      </c>
      <c r="R162" s="43" t="s">
        <v>1613</v>
      </c>
      <c r="S162" s="44" t="s">
        <v>1614</v>
      </c>
      <c r="T162" s="61">
        <v>47078.0</v>
      </c>
      <c r="U162" s="50" t="s">
        <v>1615</v>
      </c>
      <c r="V162" s="76">
        <v>9.84862401E8</v>
      </c>
      <c r="W162" s="47" t="s">
        <v>1616</v>
      </c>
      <c r="X162" s="41" t="s">
        <v>1617</v>
      </c>
      <c r="Y162" s="55" t="s">
        <v>1618</v>
      </c>
      <c r="Z162" s="49">
        <v>46265.0</v>
      </c>
      <c r="AA162" s="39"/>
      <c r="AB162" s="38"/>
      <c r="AC162" s="38"/>
    </row>
    <row r="163" ht="14.25" customHeight="1">
      <c r="A163" s="39" t="s">
        <v>1604</v>
      </c>
      <c r="B163" s="39" t="s">
        <v>1605</v>
      </c>
      <c r="C163" s="39" t="s">
        <v>73</v>
      </c>
      <c r="D163" s="40" t="s">
        <v>1619</v>
      </c>
      <c r="E163" s="39" t="s">
        <v>1620</v>
      </c>
      <c r="F163" s="39" t="s">
        <v>76</v>
      </c>
      <c r="G163" s="39" t="s">
        <v>77</v>
      </c>
      <c r="H163" s="41" t="s">
        <v>1604</v>
      </c>
      <c r="I163" s="41" t="s">
        <v>73</v>
      </c>
      <c r="J163" s="42" t="s">
        <v>105</v>
      </c>
      <c r="K163" s="41" t="s">
        <v>1608</v>
      </c>
      <c r="L163" s="39" t="s">
        <v>1621</v>
      </c>
      <c r="M163" s="39" t="s">
        <v>269</v>
      </c>
      <c r="N163" s="39" t="s">
        <v>1622</v>
      </c>
      <c r="O163" s="40" t="s">
        <v>1611</v>
      </c>
      <c r="P163" s="40"/>
      <c r="Q163" s="39" t="s">
        <v>1623</v>
      </c>
      <c r="R163" s="43" t="s">
        <v>1624</v>
      </c>
      <c r="S163" s="44" t="s">
        <v>1625</v>
      </c>
      <c r="T163" s="45">
        <v>47650.0</v>
      </c>
      <c r="U163" s="41" t="s">
        <v>1626</v>
      </c>
      <c r="V163" s="53">
        <v>9.85335837E8</v>
      </c>
      <c r="W163" s="54" t="s">
        <v>1627</v>
      </c>
      <c r="X163" s="41" t="s">
        <v>1628</v>
      </c>
      <c r="Y163" s="55" t="s">
        <v>1629</v>
      </c>
      <c r="Z163" s="49">
        <v>46265.0</v>
      </c>
      <c r="AA163" s="39"/>
      <c r="AB163" s="38"/>
      <c r="AC163" s="38"/>
    </row>
    <row r="164" ht="14.25" customHeight="1">
      <c r="A164" s="39" t="s">
        <v>1604</v>
      </c>
      <c r="B164" s="39" t="s">
        <v>1630</v>
      </c>
      <c r="C164" s="39" t="s">
        <v>73</v>
      </c>
      <c r="D164" s="40" t="s">
        <v>1631</v>
      </c>
      <c r="E164" s="39" t="s">
        <v>1632</v>
      </c>
      <c r="F164" s="39" t="s">
        <v>76</v>
      </c>
      <c r="G164" s="39" t="s">
        <v>77</v>
      </c>
      <c r="H164" s="41" t="s">
        <v>1604</v>
      </c>
      <c r="I164" s="41" t="s">
        <v>73</v>
      </c>
      <c r="J164" s="50" t="s">
        <v>105</v>
      </c>
      <c r="K164" s="41" t="s">
        <v>79</v>
      </c>
      <c r="L164" s="39" t="s">
        <v>1633</v>
      </c>
      <c r="M164" s="39" t="s">
        <v>269</v>
      </c>
      <c r="N164" s="39" t="s">
        <v>1634</v>
      </c>
      <c r="O164" s="40" t="s">
        <v>1635</v>
      </c>
      <c r="P164" s="40"/>
      <c r="Q164" s="39" t="s">
        <v>1636</v>
      </c>
      <c r="R164" s="43"/>
      <c r="S164" s="51" t="s">
        <v>1637</v>
      </c>
      <c r="T164" s="70">
        <v>44998.0</v>
      </c>
      <c r="U164" s="41" t="s">
        <v>1638</v>
      </c>
      <c r="V164" s="53">
        <v>9.96413339E8</v>
      </c>
      <c r="W164" s="54" t="s">
        <v>1639</v>
      </c>
      <c r="X164" s="41" t="s">
        <v>1640</v>
      </c>
      <c r="Y164" s="55" t="s">
        <v>1641</v>
      </c>
      <c r="Z164" s="49">
        <v>46265.0</v>
      </c>
      <c r="AA164" s="39"/>
      <c r="AB164" s="38"/>
      <c r="AC164" s="38"/>
    </row>
    <row r="165" ht="14.25" customHeight="1">
      <c r="A165" s="39" t="s">
        <v>1604</v>
      </c>
      <c r="B165" s="39" t="s">
        <v>1642</v>
      </c>
      <c r="C165" s="39" t="s">
        <v>73</v>
      </c>
      <c r="D165" s="40" t="s">
        <v>1643</v>
      </c>
      <c r="E165" s="39" t="s">
        <v>1644</v>
      </c>
      <c r="F165" s="39" t="s">
        <v>76</v>
      </c>
      <c r="G165" s="39" t="s">
        <v>77</v>
      </c>
      <c r="H165" s="41" t="s">
        <v>1604</v>
      </c>
      <c r="I165" s="41" t="s">
        <v>73</v>
      </c>
      <c r="J165" s="42" t="s">
        <v>78</v>
      </c>
      <c r="K165" s="41" t="s">
        <v>79</v>
      </c>
      <c r="L165" s="39" t="s">
        <v>1645</v>
      </c>
      <c r="M165" s="39" t="s">
        <v>269</v>
      </c>
      <c r="N165" s="39" t="s">
        <v>1646</v>
      </c>
      <c r="O165" s="40" t="s">
        <v>1647</v>
      </c>
      <c r="P165" s="40"/>
      <c r="Q165" s="39" t="s">
        <v>1648</v>
      </c>
      <c r="R165" s="43" t="s">
        <v>1649</v>
      </c>
      <c r="S165" s="44" t="s">
        <v>1650</v>
      </c>
      <c r="T165" s="61">
        <v>47078.0</v>
      </c>
      <c r="U165" s="41" t="s">
        <v>1651</v>
      </c>
      <c r="V165" s="53">
        <v>9.84449181E8</v>
      </c>
      <c r="W165" s="54" t="s">
        <v>1652</v>
      </c>
      <c r="X165" s="41"/>
      <c r="Y165" s="55"/>
      <c r="Z165" s="49">
        <v>46265.0</v>
      </c>
      <c r="AA165" s="39"/>
      <c r="AB165" s="38"/>
      <c r="AC165" s="38"/>
    </row>
    <row r="166" ht="14.25" customHeight="1">
      <c r="A166" s="39" t="s">
        <v>1604</v>
      </c>
      <c r="B166" s="39" t="s">
        <v>1642</v>
      </c>
      <c r="C166" s="39" t="s">
        <v>73</v>
      </c>
      <c r="D166" s="40" t="s">
        <v>1653</v>
      </c>
      <c r="E166" s="39" t="s">
        <v>1654</v>
      </c>
      <c r="F166" s="39" t="s">
        <v>76</v>
      </c>
      <c r="G166" s="39" t="s">
        <v>77</v>
      </c>
      <c r="H166" s="41" t="s">
        <v>1604</v>
      </c>
      <c r="I166" s="41" t="s">
        <v>73</v>
      </c>
      <c r="J166" s="50" t="s">
        <v>105</v>
      </c>
      <c r="K166" s="41" t="s">
        <v>79</v>
      </c>
      <c r="L166" s="39" t="s">
        <v>1645</v>
      </c>
      <c r="M166" s="39" t="s">
        <v>269</v>
      </c>
      <c r="N166" s="39" t="s">
        <v>1655</v>
      </c>
      <c r="O166" s="40" t="s">
        <v>1647</v>
      </c>
      <c r="P166" s="40"/>
      <c r="Q166" s="39" t="s">
        <v>1656</v>
      </c>
      <c r="R166" s="43"/>
      <c r="S166" s="44" t="s">
        <v>1657</v>
      </c>
      <c r="T166" s="45">
        <v>47277.0</v>
      </c>
      <c r="U166" s="41" t="s">
        <v>1658</v>
      </c>
      <c r="V166" s="53">
        <v>9.85689249E8</v>
      </c>
      <c r="W166" s="54" t="s">
        <v>1659</v>
      </c>
      <c r="X166" s="41" t="s">
        <v>1660</v>
      </c>
      <c r="Y166" s="55" t="s">
        <v>1661</v>
      </c>
      <c r="Z166" s="49">
        <v>46265.0</v>
      </c>
      <c r="AA166" s="39"/>
      <c r="AB166" s="38"/>
      <c r="AC166" s="38"/>
    </row>
    <row r="167" ht="14.25" customHeight="1">
      <c r="A167" s="39" t="s">
        <v>1604</v>
      </c>
      <c r="B167" s="39" t="s">
        <v>1662</v>
      </c>
      <c r="C167" s="39" t="s">
        <v>126</v>
      </c>
      <c r="D167" s="40" t="s">
        <v>1009</v>
      </c>
      <c r="E167" s="39" t="s">
        <v>1663</v>
      </c>
      <c r="F167" s="39" t="s">
        <v>76</v>
      </c>
      <c r="G167" s="39" t="s">
        <v>93</v>
      </c>
      <c r="H167" s="41" t="s">
        <v>1604</v>
      </c>
      <c r="I167" s="41" t="s">
        <v>203</v>
      </c>
      <c r="J167" s="39" t="s">
        <v>129</v>
      </c>
      <c r="K167" s="39" t="s">
        <v>79</v>
      </c>
      <c r="L167" s="39" t="s">
        <v>1664</v>
      </c>
      <c r="M167" s="39" t="s">
        <v>1665</v>
      </c>
      <c r="N167" s="39"/>
      <c r="O167" s="40" t="s">
        <v>1666</v>
      </c>
      <c r="P167" s="40"/>
      <c r="Q167" s="39"/>
      <c r="R167" s="43" t="s">
        <v>133</v>
      </c>
      <c r="S167" s="44" t="s">
        <v>86</v>
      </c>
      <c r="T167" s="48"/>
      <c r="U167" s="58"/>
      <c r="V167" s="59"/>
      <c r="W167" s="57"/>
      <c r="X167" s="39"/>
      <c r="Y167" s="48"/>
      <c r="Z167" s="49">
        <v>46265.0</v>
      </c>
      <c r="AA167" s="39"/>
      <c r="AB167" s="38"/>
      <c r="AC167" s="38"/>
    </row>
    <row r="168" ht="14.25" customHeight="1">
      <c r="A168" s="39" t="s">
        <v>1604</v>
      </c>
      <c r="B168" s="39" t="s">
        <v>1662</v>
      </c>
      <c r="C168" s="39" t="s">
        <v>73</v>
      </c>
      <c r="D168" s="40" t="s">
        <v>1667</v>
      </c>
      <c r="E168" s="39" t="s">
        <v>1668</v>
      </c>
      <c r="F168" s="39" t="s">
        <v>76</v>
      </c>
      <c r="G168" s="39" t="s">
        <v>77</v>
      </c>
      <c r="H168" s="41" t="s">
        <v>1604</v>
      </c>
      <c r="I168" s="41" t="s">
        <v>73</v>
      </c>
      <c r="J168" s="50" t="s">
        <v>105</v>
      </c>
      <c r="K168" s="41" t="s">
        <v>79</v>
      </c>
      <c r="L168" s="39" t="s">
        <v>1669</v>
      </c>
      <c r="M168" s="39" t="s">
        <v>1670</v>
      </c>
      <c r="N168" s="39" t="s">
        <v>1671</v>
      </c>
      <c r="O168" s="40" t="s">
        <v>1672</v>
      </c>
      <c r="P168" s="40"/>
      <c r="Q168" s="39" t="s">
        <v>1673</v>
      </c>
      <c r="R168" s="43"/>
      <c r="S168" s="44" t="s">
        <v>1674</v>
      </c>
      <c r="T168" s="61">
        <v>47413.0</v>
      </c>
      <c r="U168" s="41" t="s">
        <v>1675</v>
      </c>
      <c r="V168" s="53">
        <v>9.84346317E8</v>
      </c>
      <c r="W168" s="54" t="s">
        <v>1676</v>
      </c>
      <c r="X168" s="41" t="s">
        <v>1677</v>
      </c>
      <c r="Y168" s="55" t="s">
        <v>1678</v>
      </c>
      <c r="Z168" s="49">
        <v>46265.0</v>
      </c>
      <c r="AA168" s="39"/>
      <c r="AB168" s="38"/>
      <c r="AC168" s="38"/>
    </row>
    <row r="169" ht="14.25" customHeight="1">
      <c r="A169" s="39" t="s">
        <v>1604</v>
      </c>
      <c r="B169" s="39" t="s">
        <v>1662</v>
      </c>
      <c r="C169" s="39" t="s">
        <v>73</v>
      </c>
      <c r="D169" s="40" t="s">
        <v>1679</v>
      </c>
      <c r="E169" s="39" t="s">
        <v>1680</v>
      </c>
      <c r="F169" s="39" t="s">
        <v>76</v>
      </c>
      <c r="G169" s="39" t="s">
        <v>77</v>
      </c>
      <c r="H169" s="41" t="s">
        <v>1604</v>
      </c>
      <c r="I169" s="41" t="s">
        <v>73</v>
      </c>
      <c r="J169" s="42" t="s">
        <v>105</v>
      </c>
      <c r="K169" s="41" t="s">
        <v>79</v>
      </c>
      <c r="L169" s="39" t="s">
        <v>1681</v>
      </c>
      <c r="M169" s="39" t="s">
        <v>1682</v>
      </c>
      <c r="N169" s="39" t="s">
        <v>1683</v>
      </c>
      <c r="O169" s="40" t="s">
        <v>1684</v>
      </c>
      <c r="P169" s="40"/>
      <c r="Q169" s="39" t="s">
        <v>1685</v>
      </c>
      <c r="R169" s="43" t="s">
        <v>1686</v>
      </c>
      <c r="S169" s="44" t="s">
        <v>1687</v>
      </c>
      <c r="T169" s="45">
        <v>47608.0</v>
      </c>
      <c r="U169" s="41" t="s">
        <v>1688</v>
      </c>
      <c r="V169" s="53">
        <v>9.81509506E8</v>
      </c>
      <c r="W169" s="54" t="s">
        <v>1689</v>
      </c>
      <c r="X169" s="39"/>
      <c r="Y169" s="48"/>
      <c r="Z169" s="49">
        <v>46265.0</v>
      </c>
      <c r="AA169" s="39"/>
      <c r="AB169" s="38"/>
      <c r="AC169" s="38"/>
    </row>
    <row r="170" ht="14.25" customHeight="1">
      <c r="A170" s="39" t="s">
        <v>1604</v>
      </c>
      <c r="B170" s="39" t="s">
        <v>1662</v>
      </c>
      <c r="C170" s="39" t="s">
        <v>126</v>
      </c>
      <c r="D170" s="40" t="s">
        <v>1690</v>
      </c>
      <c r="E170" s="39" t="s">
        <v>1691</v>
      </c>
      <c r="F170" s="39" t="s">
        <v>76</v>
      </c>
      <c r="G170" s="39" t="s">
        <v>202</v>
      </c>
      <c r="H170" s="41" t="s">
        <v>1604</v>
      </c>
      <c r="I170" s="39" t="s">
        <v>203</v>
      </c>
      <c r="J170" s="39" t="s">
        <v>129</v>
      </c>
      <c r="K170" s="39" t="s">
        <v>79</v>
      </c>
      <c r="L170" s="39" t="s">
        <v>1692</v>
      </c>
      <c r="M170" s="39" t="s">
        <v>1693</v>
      </c>
      <c r="N170" s="39"/>
      <c r="O170" s="40" t="s">
        <v>1694</v>
      </c>
      <c r="P170" s="40" t="s">
        <v>1695</v>
      </c>
      <c r="Q170" s="39"/>
      <c r="R170" s="43" t="s">
        <v>133</v>
      </c>
      <c r="S170" s="44" t="s">
        <v>1696</v>
      </c>
      <c r="T170" s="45">
        <v>47608.0</v>
      </c>
      <c r="U170" s="39"/>
      <c r="V170" s="48"/>
      <c r="W170" s="57"/>
      <c r="X170" s="39"/>
      <c r="Y170" s="48"/>
      <c r="Z170" s="49">
        <v>46265.0</v>
      </c>
      <c r="AA170" s="39"/>
      <c r="AB170" s="38"/>
      <c r="AC170" s="38"/>
    </row>
    <row r="171" ht="14.25" customHeight="1">
      <c r="A171" s="39" t="s">
        <v>1604</v>
      </c>
      <c r="B171" s="39" t="s">
        <v>1662</v>
      </c>
      <c r="C171" s="39" t="s">
        <v>126</v>
      </c>
      <c r="D171" s="40" t="s">
        <v>127</v>
      </c>
      <c r="E171" s="39" t="s">
        <v>1697</v>
      </c>
      <c r="F171" s="39" t="s">
        <v>76</v>
      </c>
      <c r="G171" s="39" t="s">
        <v>202</v>
      </c>
      <c r="H171" s="41" t="s">
        <v>1604</v>
      </c>
      <c r="I171" s="39" t="s">
        <v>203</v>
      </c>
      <c r="J171" s="39" t="s">
        <v>129</v>
      </c>
      <c r="K171" s="39" t="s">
        <v>79</v>
      </c>
      <c r="L171" s="39" t="s">
        <v>1692</v>
      </c>
      <c r="M171" s="39" t="s">
        <v>1698</v>
      </c>
      <c r="N171" s="39"/>
      <c r="O171" s="40" t="s">
        <v>1694</v>
      </c>
      <c r="P171" s="40"/>
      <c r="Q171" s="39"/>
      <c r="R171" s="43" t="s">
        <v>133</v>
      </c>
      <c r="S171" s="44" t="s">
        <v>86</v>
      </c>
      <c r="T171" s="48"/>
      <c r="U171" s="39"/>
      <c r="V171" s="48"/>
      <c r="W171" s="57"/>
      <c r="X171" s="39"/>
      <c r="Y171" s="48"/>
      <c r="Z171" s="41" t="s">
        <v>1699</v>
      </c>
      <c r="AA171" s="39"/>
      <c r="AB171" s="38"/>
      <c r="AC171" s="38"/>
    </row>
    <row r="172" ht="14.25" customHeight="1">
      <c r="A172" s="39" t="s">
        <v>1604</v>
      </c>
      <c r="B172" s="39" t="s">
        <v>1700</v>
      </c>
      <c r="C172" s="39" t="s">
        <v>126</v>
      </c>
      <c r="D172" s="40" t="s">
        <v>1176</v>
      </c>
      <c r="E172" s="39" t="s">
        <v>1701</v>
      </c>
      <c r="F172" s="39" t="s">
        <v>76</v>
      </c>
      <c r="G172" s="39" t="s">
        <v>93</v>
      </c>
      <c r="H172" s="41" t="s">
        <v>1604</v>
      </c>
      <c r="I172" s="41" t="s">
        <v>203</v>
      </c>
      <c r="J172" s="39" t="s">
        <v>129</v>
      </c>
      <c r="K172" s="39" t="s">
        <v>79</v>
      </c>
      <c r="L172" s="39" t="s">
        <v>1702</v>
      </c>
      <c r="M172" s="39" t="s">
        <v>1703</v>
      </c>
      <c r="N172" s="39"/>
      <c r="O172" s="40" t="s">
        <v>1704</v>
      </c>
      <c r="P172" s="40"/>
      <c r="Q172" s="39"/>
      <c r="R172" s="43" t="s">
        <v>133</v>
      </c>
      <c r="S172" s="44" t="s">
        <v>86</v>
      </c>
      <c r="T172" s="48"/>
      <c r="U172" s="39"/>
      <c r="V172" s="48"/>
      <c r="W172" s="57"/>
      <c r="X172" s="39"/>
      <c r="Y172" s="48"/>
      <c r="Z172" s="77"/>
      <c r="AA172" s="39"/>
      <c r="AB172" s="38"/>
      <c r="AC172" s="38"/>
    </row>
    <row r="173" ht="14.25" customHeight="1">
      <c r="A173" s="39" t="s">
        <v>1604</v>
      </c>
      <c r="B173" s="39" t="s">
        <v>1700</v>
      </c>
      <c r="C173" s="39" t="s">
        <v>73</v>
      </c>
      <c r="D173" s="40" t="s">
        <v>1705</v>
      </c>
      <c r="E173" s="39" t="s">
        <v>1706</v>
      </c>
      <c r="F173" s="39" t="s">
        <v>76</v>
      </c>
      <c r="G173" s="39" t="s">
        <v>77</v>
      </c>
      <c r="H173" s="41" t="s">
        <v>1604</v>
      </c>
      <c r="I173" s="39"/>
      <c r="J173" s="42" t="s">
        <v>105</v>
      </c>
      <c r="K173" s="41" t="s">
        <v>79</v>
      </c>
      <c r="L173" s="39" t="s">
        <v>1707</v>
      </c>
      <c r="M173" s="39" t="s">
        <v>1708</v>
      </c>
      <c r="N173" s="39" t="s">
        <v>1709</v>
      </c>
      <c r="O173" s="40" t="s">
        <v>1710</v>
      </c>
      <c r="P173" s="40"/>
      <c r="Q173" s="39" t="s">
        <v>1711</v>
      </c>
      <c r="R173" s="43"/>
      <c r="S173" s="51" t="s">
        <v>1712</v>
      </c>
      <c r="T173" s="70">
        <v>43408.0</v>
      </c>
      <c r="U173" s="41" t="s">
        <v>1713</v>
      </c>
      <c r="V173" s="53">
        <v>9.80422334E8</v>
      </c>
      <c r="W173" s="54" t="s">
        <v>1714</v>
      </c>
      <c r="X173" s="39"/>
      <c r="Y173" s="48"/>
      <c r="Z173" s="77"/>
      <c r="AA173" s="39"/>
      <c r="AB173" s="38"/>
      <c r="AC173" s="38"/>
    </row>
    <row r="174" ht="14.25" customHeight="1">
      <c r="A174" s="39" t="s">
        <v>1604</v>
      </c>
      <c r="B174" s="39" t="s">
        <v>1715</v>
      </c>
      <c r="C174" s="39" t="s">
        <v>73</v>
      </c>
      <c r="D174" s="40" t="s">
        <v>1716</v>
      </c>
      <c r="E174" s="39" t="s">
        <v>1717</v>
      </c>
      <c r="F174" s="39" t="s">
        <v>76</v>
      </c>
      <c r="G174" s="39" t="s">
        <v>77</v>
      </c>
      <c r="H174" s="41" t="s">
        <v>1604</v>
      </c>
      <c r="I174" s="39"/>
      <c r="J174" s="50" t="s">
        <v>105</v>
      </c>
      <c r="K174" s="41" t="s">
        <v>79</v>
      </c>
      <c r="L174" s="39" t="s">
        <v>1718</v>
      </c>
      <c r="M174" s="39" t="s">
        <v>269</v>
      </c>
      <c r="N174" s="39" t="s">
        <v>1719</v>
      </c>
      <c r="O174" s="40" t="s">
        <v>1720</v>
      </c>
      <c r="P174" s="40"/>
      <c r="Q174" s="39" t="s">
        <v>1721</v>
      </c>
      <c r="R174" s="43"/>
      <c r="S174" s="44" t="s">
        <v>1722</v>
      </c>
      <c r="T174" s="45">
        <v>47287.0</v>
      </c>
      <c r="U174" s="41" t="s">
        <v>1723</v>
      </c>
      <c r="V174" s="53">
        <v>9.81300419E8</v>
      </c>
      <c r="W174" s="54" t="s">
        <v>1724</v>
      </c>
      <c r="X174" s="41" t="s">
        <v>1725</v>
      </c>
      <c r="Y174" s="55" t="s">
        <v>1726</v>
      </c>
      <c r="Z174" s="77"/>
      <c r="AA174" s="39"/>
      <c r="AB174" s="38"/>
      <c r="AC174" s="38"/>
    </row>
    <row r="175" ht="14.25" customHeight="1">
      <c r="A175" s="39" t="s">
        <v>1604</v>
      </c>
      <c r="B175" s="39" t="s">
        <v>1727</v>
      </c>
      <c r="C175" s="39" t="s">
        <v>73</v>
      </c>
      <c r="D175" s="40" t="s">
        <v>1728</v>
      </c>
      <c r="E175" s="39" t="s">
        <v>1729</v>
      </c>
      <c r="F175" s="39" t="s">
        <v>76</v>
      </c>
      <c r="G175" s="39" t="s">
        <v>77</v>
      </c>
      <c r="H175" s="41" t="s">
        <v>1604</v>
      </c>
      <c r="I175" s="39"/>
      <c r="J175" s="42" t="s">
        <v>105</v>
      </c>
      <c r="K175" s="41" t="s">
        <v>79</v>
      </c>
      <c r="L175" s="39" t="s">
        <v>1730</v>
      </c>
      <c r="M175" s="39" t="s">
        <v>269</v>
      </c>
      <c r="N175" s="39" t="s">
        <v>1731</v>
      </c>
      <c r="O175" s="40" t="s">
        <v>1732</v>
      </c>
      <c r="P175" s="40"/>
      <c r="Q175" s="39" t="s">
        <v>1733</v>
      </c>
      <c r="R175" s="43"/>
      <c r="S175" s="51" t="s">
        <v>1734</v>
      </c>
      <c r="T175" s="70">
        <v>45103.0</v>
      </c>
      <c r="U175" s="42" t="s">
        <v>1735</v>
      </c>
      <c r="V175" s="56">
        <v>9.86228774E8</v>
      </c>
      <c r="W175" s="57"/>
      <c r="X175" s="41" t="s">
        <v>1736</v>
      </c>
      <c r="Y175" s="55" t="s">
        <v>1737</v>
      </c>
      <c r="Z175" s="77"/>
      <c r="AA175" s="39"/>
      <c r="AB175" s="38"/>
      <c r="AC175" s="38"/>
    </row>
    <row r="176" ht="14.25" customHeight="1">
      <c r="A176" s="39" t="s">
        <v>1604</v>
      </c>
      <c r="B176" s="39" t="s">
        <v>1738</v>
      </c>
      <c r="C176" s="39" t="s">
        <v>73</v>
      </c>
      <c r="D176" s="40" t="s">
        <v>1739</v>
      </c>
      <c r="E176" s="39" t="s">
        <v>1740</v>
      </c>
      <c r="F176" s="39" t="s">
        <v>76</v>
      </c>
      <c r="G176" s="39" t="s">
        <v>77</v>
      </c>
      <c r="H176" s="41" t="s">
        <v>1604</v>
      </c>
      <c r="I176" s="39"/>
      <c r="J176" s="50" t="s">
        <v>105</v>
      </c>
      <c r="K176" s="41" t="s">
        <v>79</v>
      </c>
      <c r="L176" s="39" t="s">
        <v>1741</v>
      </c>
      <c r="M176" s="39" t="s">
        <v>269</v>
      </c>
      <c r="N176" s="39" t="s">
        <v>1742</v>
      </c>
      <c r="O176" s="40" t="s">
        <v>1743</v>
      </c>
      <c r="P176" s="40"/>
      <c r="Q176" s="39" t="s">
        <v>1744</v>
      </c>
      <c r="R176" s="43"/>
      <c r="S176" s="51" t="s">
        <v>1745</v>
      </c>
      <c r="T176" s="52">
        <v>44522.0</v>
      </c>
      <c r="U176" s="41" t="s">
        <v>1746</v>
      </c>
      <c r="V176" s="53">
        <v>9.85313693E8</v>
      </c>
      <c r="W176" s="54" t="s">
        <v>1747</v>
      </c>
      <c r="X176" s="41" t="s">
        <v>1748</v>
      </c>
      <c r="Y176" s="55" t="s">
        <v>1749</v>
      </c>
      <c r="Z176" s="77"/>
      <c r="AA176" s="39"/>
      <c r="AB176" s="38"/>
      <c r="AC176" s="38"/>
    </row>
    <row r="177" ht="14.25" customHeight="1">
      <c r="A177" s="39" t="s">
        <v>1604</v>
      </c>
      <c r="B177" s="39" t="s">
        <v>1738</v>
      </c>
      <c r="C177" s="39" t="s">
        <v>73</v>
      </c>
      <c r="D177" s="40" t="s">
        <v>1750</v>
      </c>
      <c r="E177" s="39" t="s">
        <v>1751</v>
      </c>
      <c r="F177" s="39" t="s">
        <v>76</v>
      </c>
      <c r="G177" s="39" t="s">
        <v>77</v>
      </c>
      <c r="H177" s="41" t="s">
        <v>1604</v>
      </c>
      <c r="I177" s="41"/>
      <c r="J177" s="42" t="s">
        <v>192</v>
      </c>
      <c r="K177" s="41" t="s">
        <v>79</v>
      </c>
      <c r="L177" s="39" t="s">
        <v>1752</v>
      </c>
      <c r="M177" s="39" t="s">
        <v>1753</v>
      </c>
      <c r="N177" s="39" t="s">
        <v>1754</v>
      </c>
      <c r="O177" s="40" t="s">
        <v>1755</v>
      </c>
      <c r="P177" s="40"/>
      <c r="Q177" s="39" t="s">
        <v>1756</v>
      </c>
      <c r="R177" s="43" t="s">
        <v>1757</v>
      </c>
      <c r="S177" s="44" t="s">
        <v>86</v>
      </c>
      <c r="T177" s="48"/>
      <c r="U177" s="42" t="s">
        <v>1758</v>
      </c>
      <c r="V177" s="56">
        <v>9.84696036E8</v>
      </c>
      <c r="W177" s="57"/>
      <c r="X177" s="39"/>
      <c r="Y177" s="48"/>
      <c r="Z177" s="77"/>
      <c r="AA177" s="39"/>
      <c r="AB177" s="38"/>
      <c r="AC177" s="38"/>
    </row>
    <row r="178" ht="14.25" customHeight="1">
      <c r="A178" s="39" t="s">
        <v>1604</v>
      </c>
      <c r="B178" s="39" t="s">
        <v>1738</v>
      </c>
      <c r="C178" s="39" t="s">
        <v>73</v>
      </c>
      <c r="D178" s="40" t="s">
        <v>1759</v>
      </c>
      <c r="E178" s="39" t="s">
        <v>1760</v>
      </c>
      <c r="F178" s="39" t="s">
        <v>76</v>
      </c>
      <c r="G178" s="39" t="s">
        <v>77</v>
      </c>
      <c r="H178" s="41" t="s">
        <v>1604</v>
      </c>
      <c r="I178" s="39"/>
      <c r="J178" s="50" t="s">
        <v>105</v>
      </c>
      <c r="K178" s="41" t="s">
        <v>79</v>
      </c>
      <c r="L178" s="39" t="s">
        <v>1741</v>
      </c>
      <c r="M178" s="39" t="s">
        <v>269</v>
      </c>
      <c r="N178" s="39" t="s">
        <v>1761</v>
      </c>
      <c r="O178" s="40" t="s">
        <v>1743</v>
      </c>
      <c r="P178" s="40"/>
      <c r="Q178" s="39" t="s">
        <v>1762</v>
      </c>
      <c r="R178" s="43" t="s">
        <v>1763</v>
      </c>
      <c r="S178" s="51" t="s">
        <v>1764</v>
      </c>
      <c r="T178" s="70">
        <v>45102.0</v>
      </c>
      <c r="U178" s="41" t="s">
        <v>1765</v>
      </c>
      <c r="V178" s="53">
        <v>9.85407373E8</v>
      </c>
      <c r="W178" s="54" t="s">
        <v>1766</v>
      </c>
      <c r="X178" s="39"/>
      <c r="Y178" s="48"/>
      <c r="Z178" s="77"/>
      <c r="AA178" s="39"/>
      <c r="AB178" s="38"/>
      <c r="AC178" s="38"/>
    </row>
    <row r="179" ht="14.25" customHeight="1">
      <c r="A179" s="39" t="s">
        <v>1604</v>
      </c>
      <c r="B179" s="39" t="s">
        <v>1767</v>
      </c>
      <c r="C179" s="39" t="s">
        <v>73</v>
      </c>
      <c r="D179" s="40" t="s">
        <v>1768</v>
      </c>
      <c r="E179" s="39" t="s">
        <v>1769</v>
      </c>
      <c r="F179" s="39" t="s">
        <v>76</v>
      </c>
      <c r="G179" s="39" t="s">
        <v>77</v>
      </c>
      <c r="H179" s="41" t="s">
        <v>1604</v>
      </c>
      <c r="I179" s="39"/>
      <c r="J179" s="42" t="s">
        <v>105</v>
      </c>
      <c r="K179" s="41" t="s">
        <v>79</v>
      </c>
      <c r="L179" s="39" t="s">
        <v>1770</v>
      </c>
      <c r="M179" s="39" t="s">
        <v>304</v>
      </c>
      <c r="N179" s="39" t="s">
        <v>1771</v>
      </c>
      <c r="O179" s="40" t="s">
        <v>1772</v>
      </c>
      <c r="P179" s="40"/>
      <c r="Q179" s="39" t="s">
        <v>1773</v>
      </c>
      <c r="R179" s="43" t="s">
        <v>1774</v>
      </c>
      <c r="S179" s="44" t="s">
        <v>151</v>
      </c>
      <c r="T179" s="45">
        <v>46273.0</v>
      </c>
      <c r="U179" s="41" t="s">
        <v>1775</v>
      </c>
      <c r="V179" s="53">
        <v>9.88509973E8</v>
      </c>
      <c r="W179" s="54" t="s">
        <v>1776</v>
      </c>
      <c r="X179" s="41" t="s">
        <v>1777</v>
      </c>
      <c r="Y179" s="55" t="s">
        <v>1778</v>
      </c>
      <c r="Z179" s="77"/>
      <c r="AA179" s="39"/>
      <c r="AB179" s="38"/>
      <c r="AC179" s="38"/>
    </row>
    <row r="180" ht="14.25" customHeight="1">
      <c r="A180" s="39" t="s">
        <v>1604</v>
      </c>
      <c r="B180" s="39" t="s">
        <v>1779</v>
      </c>
      <c r="C180" s="39" t="s">
        <v>73</v>
      </c>
      <c r="D180" s="40" t="s">
        <v>1780</v>
      </c>
      <c r="E180" s="39" t="s">
        <v>1781</v>
      </c>
      <c r="F180" s="39" t="s">
        <v>76</v>
      </c>
      <c r="G180" s="39" t="s">
        <v>77</v>
      </c>
      <c r="H180" s="41" t="s">
        <v>1604</v>
      </c>
      <c r="I180" s="39"/>
      <c r="J180" s="50" t="s">
        <v>105</v>
      </c>
      <c r="K180" s="41" t="s">
        <v>79</v>
      </c>
      <c r="L180" s="39" t="s">
        <v>1782</v>
      </c>
      <c r="M180" s="39" t="s">
        <v>269</v>
      </c>
      <c r="N180" s="39" t="s">
        <v>1783</v>
      </c>
      <c r="O180" s="40" t="s">
        <v>1784</v>
      </c>
      <c r="P180" s="40"/>
      <c r="Q180" s="39" t="s">
        <v>1785</v>
      </c>
      <c r="R180" s="43" t="s">
        <v>1786</v>
      </c>
      <c r="S180" s="51" t="s">
        <v>1787</v>
      </c>
      <c r="T180" s="70">
        <v>43408.0</v>
      </c>
      <c r="U180" s="41" t="s">
        <v>1788</v>
      </c>
      <c r="V180" s="53">
        <v>9.89930294E8</v>
      </c>
      <c r="W180" s="54" t="s">
        <v>1789</v>
      </c>
      <c r="X180" s="39"/>
      <c r="Y180" s="48"/>
      <c r="Z180" s="77"/>
      <c r="AA180" s="39"/>
      <c r="AB180" s="38"/>
      <c r="AC180" s="38"/>
    </row>
    <row r="181" ht="14.25" customHeight="1">
      <c r="A181" s="39" t="s">
        <v>1790</v>
      </c>
      <c r="B181" s="39" t="s">
        <v>1791</v>
      </c>
      <c r="C181" s="39" t="s">
        <v>73</v>
      </c>
      <c r="D181" s="40" t="s">
        <v>1792</v>
      </c>
      <c r="E181" s="39" t="s">
        <v>1793</v>
      </c>
      <c r="F181" s="39" t="s">
        <v>76</v>
      </c>
      <c r="G181" s="39" t="s">
        <v>77</v>
      </c>
      <c r="H181" s="39" t="s">
        <v>1790</v>
      </c>
      <c r="I181" s="39"/>
      <c r="J181" s="42" t="s">
        <v>105</v>
      </c>
      <c r="K181" s="41" t="s">
        <v>79</v>
      </c>
      <c r="L181" s="39" t="s">
        <v>1794</v>
      </c>
      <c r="M181" s="39" t="s">
        <v>1795</v>
      </c>
      <c r="N181" s="39" t="s">
        <v>1796</v>
      </c>
      <c r="O181" s="40" t="s">
        <v>1797</v>
      </c>
      <c r="P181" s="40"/>
      <c r="Q181" s="39" t="s">
        <v>1798</v>
      </c>
      <c r="R181" s="43"/>
      <c r="S181" s="51" t="s">
        <v>1799</v>
      </c>
      <c r="T181" s="70">
        <v>45705.0</v>
      </c>
      <c r="U181" s="41" t="s">
        <v>1800</v>
      </c>
      <c r="V181" s="53">
        <v>9.85083493E8</v>
      </c>
      <c r="W181" s="54" t="s">
        <v>1801</v>
      </c>
      <c r="X181" s="41" t="s">
        <v>1802</v>
      </c>
      <c r="Y181" s="55" t="s">
        <v>1803</v>
      </c>
      <c r="Z181" s="77"/>
      <c r="AA181" s="39"/>
      <c r="AB181" s="38"/>
      <c r="AC181" s="38"/>
    </row>
    <row r="182" ht="14.25" customHeight="1">
      <c r="A182" s="39" t="s">
        <v>1790</v>
      </c>
      <c r="B182" s="39" t="s">
        <v>1791</v>
      </c>
      <c r="C182" s="39" t="s">
        <v>73</v>
      </c>
      <c r="D182" s="40" t="s">
        <v>1804</v>
      </c>
      <c r="E182" s="39" t="s">
        <v>1805</v>
      </c>
      <c r="F182" s="39" t="s">
        <v>76</v>
      </c>
      <c r="G182" s="39" t="s">
        <v>77</v>
      </c>
      <c r="H182" s="39" t="s">
        <v>1790</v>
      </c>
      <c r="I182" s="39"/>
      <c r="J182" s="50" t="s">
        <v>105</v>
      </c>
      <c r="K182" s="41" t="s">
        <v>79</v>
      </c>
      <c r="L182" s="39" t="s">
        <v>1806</v>
      </c>
      <c r="M182" s="39" t="s">
        <v>269</v>
      </c>
      <c r="N182" s="39" t="s">
        <v>1807</v>
      </c>
      <c r="O182" s="40" t="s">
        <v>1808</v>
      </c>
      <c r="P182" s="40"/>
      <c r="Q182" s="39" t="s">
        <v>1809</v>
      </c>
      <c r="R182" s="43" t="s">
        <v>1810</v>
      </c>
      <c r="S182" s="44" t="s">
        <v>1811</v>
      </c>
      <c r="T182" s="61">
        <v>47413.0</v>
      </c>
      <c r="U182" s="41" t="s">
        <v>1812</v>
      </c>
      <c r="V182" s="53">
        <v>9.88527913E8</v>
      </c>
      <c r="W182" s="54" t="s">
        <v>1813</v>
      </c>
      <c r="X182" s="41" t="s">
        <v>1814</v>
      </c>
      <c r="Y182" s="55" t="s">
        <v>1815</v>
      </c>
      <c r="Z182" s="77"/>
      <c r="AA182" s="39"/>
      <c r="AB182" s="38"/>
      <c r="AC182" s="38"/>
    </row>
    <row r="183" ht="14.25" customHeight="1">
      <c r="A183" s="39" t="s">
        <v>1790</v>
      </c>
      <c r="B183" s="39" t="s">
        <v>1605</v>
      </c>
      <c r="C183" s="39" t="s">
        <v>73</v>
      </c>
      <c r="D183" s="40" t="s">
        <v>1816</v>
      </c>
      <c r="E183" s="39" t="s">
        <v>1817</v>
      </c>
      <c r="F183" s="39" t="s">
        <v>76</v>
      </c>
      <c r="G183" s="39" t="s">
        <v>93</v>
      </c>
      <c r="H183" s="39" t="s">
        <v>1790</v>
      </c>
      <c r="I183" s="39"/>
      <c r="J183" s="42" t="s">
        <v>105</v>
      </c>
      <c r="K183" s="41" t="s">
        <v>1608</v>
      </c>
      <c r="L183" s="39" t="s">
        <v>1818</v>
      </c>
      <c r="M183" s="39" t="s">
        <v>269</v>
      </c>
      <c r="N183" s="39" t="s">
        <v>1819</v>
      </c>
      <c r="O183" s="40" t="s">
        <v>1611</v>
      </c>
      <c r="P183" s="40"/>
      <c r="Q183" s="39" t="s">
        <v>1820</v>
      </c>
      <c r="R183" s="43" t="s">
        <v>1821</v>
      </c>
      <c r="S183" s="44" t="s">
        <v>151</v>
      </c>
      <c r="T183" s="45">
        <v>46273.0</v>
      </c>
      <c r="U183" s="42" t="s">
        <v>1822</v>
      </c>
      <c r="V183" s="78">
        <v>9.82899338E8</v>
      </c>
      <c r="W183" s="43" t="s">
        <v>1823</v>
      </c>
      <c r="X183" s="39"/>
      <c r="Y183" s="48"/>
      <c r="Z183" s="77"/>
      <c r="AA183" s="39"/>
      <c r="AB183" s="38"/>
      <c r="AC183" s="38"/>
    </row>
    <row r="184" ht="14.25" customHeight="1">
      <c r="A184" s="39" t="s">
        <v>1790</v>
      </c>
      <c r="B184" s="39" t="s">
        <v>1605</v>
      </c>
      <c r="C184" s="39" t="s">
        <v>73</v>
      </c>
      <c r="D184" s="40" t="s">
        <v>1816</v>
      </c>
      <c r="E184" s="39" t="s">
        <v>1824</v>
      </c>
      <c r="F184" s="39" t="s">
        <v>76</v>
      </c>
      <c r="G184" s="39" t="s">
        <v>93</v>
      </c>
      <c r="H184" s="39" t="s">
        <v>1790</v>
      </c>
      <c r="I184" s="39"/>
      <c r="J184" s="50" t="s">
        <v>105</v>
      </c>
      <c r="K184" s="41" t="s">
        <v>1608</v>
      </c>
      <c r="L184" s="39" t="s">
        <v>1825</v>
      </c>
      <c r="M184" s="39" t="s">
        <v>269</v>
      </c>
      <c r="N184" s="39" t="s">
        <v>1819</v>
      </c>
      <c r="O184" s="40" t="s">
        <v>1611</v>
      </c>
      <c r="P184" s="40"/>
      <c r="Q184" s="39" t="s">
        <v>1820</v>
      </c>
      <c r="R184" s="43" t="s">
        <v>1821</v>
      </c>
      <c r="S184" s="44" t="s">
        <v>151</v>
      </c>
      <c r="T184" s="45">
        <v>46273.0</v>
      </c>
      <c r="U184" s="50" t="s">
        <v>1822</v>
      </c>
      <c r="V184" s="78">
        <v>9.82899338E8</v>
      </c>
      <c r="W184" s="43" t="s">
        <v>1823</v>
      </c>
      <c r="X184" s="39"/>
      <c r="Y184" s="48"/>
      <c r="Z184" s="77"/>
      <c r="AA184" s="39"/>
      <c r="AB184" s="38"/>
      <c r="AC184" s="38"/>
    </row>
    <row r="185" ht="14.25" customHeight="1">
      <c r="A185" s="39" t="s">
        <v>1790</v>
      </c>
      <c r="B185" s="39" t="s">
        <v>1605</v>
      </c>
      <c r="C185" s="39" t="s">
        <v>73</v>
      </c>
      <c r="D185" s="40" t="s">
        <v>1826</v>
      </c>
      <c r="E185" s="39" t="s">
        <v>1827</v>
      </c>
      <c r="F185" s="39" t="s">
        <v>76</v>
      </c>
      <c r="G185" s="39" t="s">
        <v>93</v>
      </c>
      <c r="H185" s="39" t="s">
        <v>1790</v>
      </c>
      <c r="I185" s="39"/>
      <c r="J185" s="42" t="s">
        <v>105</v>
      </c>
      <c r="K185" s="41" t="s">
        <v>1608</v>
      </c>
      <c r="L185" s="39" t="s">
        <v>1828</v>
      </c>
      <c r="M185" s="39"/>
      <c r="N185" s="39" t="s">
        <v>1829</v>
      </c>
      <c r="O185" s="40" t="s">
        <v>1611</v>
      </c>
      <c r="P185" s="40"/>
      <c r="Q185" s="39"/>
      <c r="R185" s="43" t="s">
        <v>1830</v>
      </c>
      <c r="S185" s="44" t="s">
        <v>151</v>
      </c>
      <c r="T185" s="45">
        <v>46273.0</v>
      </c>
      <c r="U185" s="41" t="s">
        <v>1831</v>
      </c>
      <c r="V185" s="53">
        <v>9.81843108E8</v>
      </c>
      <c r="W185" s="54" t="s">
        <v>1832</v>
      </c>
      <c r="X185" s="39"/>
      <c r="Y185" s="48"/>
      <c r="Z185" s="77"/>
      <c r="AA185" s="39"/>
      <c r="AB185" s="38"/>
      <c r="AC185" s="38"/>
    </row>
    <row r="186" ht="14.25" customHeight="1">
      <c r="A186" s="39" t="s">
        <v>1790</v>
      </c>
      <c r="B186" s="39" t="s">
        <v>1605</v>
      </c>
      <c r="C186" s="39" t="s">
        <v>73</v>
      </c>
      <c r="D186" s="40" t="s">
        <v>1833</v>
      </c>
      <c r="E186" s="39" t="s">
        <v>1834</v>
      </c>
      <c r="F186" s="39" t="s">
        <v>76</v>
      </c>
      <c r="G186" s="39" t="s">
        <v>93</v>
      </c>
      <c r="H186" s="39" t="s">
        <v>1790</v>
      </c>
      <c r="I186" s="39"/>
      <c r="J186" s="50" t="s">
        <v>105</v>
      </c>
      <c r="K186" s="41" t="s">
        <v>1608</v>
      </c>
      <c r="L186" s="39" t="s">
        <v>1835</v>
      </c>
      <c r="M186" s="39"/>
      <c r="N186" s="39" t="s">
        <v>1836</v>
      </c>
      <c r="O186" s="40" t="s">
        <v>1611</v>
      </c>
      <c r="P186" s="40"/>
      <c r="Q186" s="39"/>
      <c r="R186" s="43" t="s">
        <v>1837</v>
      </c>
      <c r="S186" s="44" t="s">
        <v>1838</v>
      </c>
      <c r="T186" s="45">
        <v>46924.0</v>
      </c>
      <c r="U186" s="42" t="s">
        <v>1839</v>
      </c>
      <c r="V186" s="56">
        <v>9.83930145E8</v>
      </c>
      <c r="W186" s="57"/>
      <c r="X186" s="39"/>
      <c r="Y186" s="48"/>
      <c r="Z186" s="77"/>
      <c r="AA186" s="39"/>
      <c r="AB186" s="38"/>
      <c r="AC186" s="38"/>
    </row>
    <row r="187" ht="14.25" customHeight="1">
      <c r="A187" s="39" t="s">
        <v>1790</v>
      </c>
      <c r="B187" s="39" t="s">
        <v>1605</v>
      </c>
      <c r="C187" s="39" t="s">
        <v>73</v>
      </c>
      <c r="D187" s="40" t="s">
        <v>1840</v>
      </c>
      <c r="E187" s="39" t="s">
        <v>1841</v>
      </c>
      <c r="F187" s="39" t="s">
        <v>76</v>
      </c>
      <c r="G187" s="39" t="s">
        <v>77</v>
      </c>
      <c r="H187" s="39" t="s">
        <v>1790</v>
      </c>
      <c r="I187" s="41"/>
      <c r="J187" s="42" t="s">
        <v>105</v>
      </c>
      <c r="K187" s="41" t="s">
        <v>1608</v>
      </c>
      <c r="L187" s="39" t="s">
        <v>1842</v>
      </c>
      <c r="M187" s="39"/>
      <c r="N187" s="39" t="s">
        <v>1843</v>
      </c>
      <c r="O187" s="40" t="s">
        <v>1611</v>
      </c>
      <c r="P187" s="40"/>
      <c r="Q187" s="39" t="s">
        <v>1844</v>
      </c>
      <c r="R187" s="43" t="s">
        <v>1845</v>
      </c>
      <c r="S187" s="44" t="s">
        <v>1846</v>
      </c>
      <c r="T187" s="61">
        <v>47462.0</v>
      </c>
      <c r="U187" s="41" t="s">
        <v>1847</v>
      </c>
      <c r="V187" s="53">
        <v>9.91903332E8</v>
      </c>
      <c r="W187" s="54" t="s">
        <v>1848</v>
      </c>
      <c r="X187" s="39"/>
      <c r="Y187" s="48"/>
      <c r="Z187" s="77"/>
      <c r="AA187" s="39"/>
      <c r="AB187" s="38"/>
      <c r="AC187" s="38"/>
    </row>
    <row r="188" ht="14.25" customHeight="1">
      <c r="A188" s="39" t="s">
        <v>1790</v>
      </c>
      <c r="B188" s="39" t="s">
        <v>1605</v>
      </c>
      <c r="C188" s="39" t="s">
        <v>73</v>
      </c>
      <c r="D188" s="40" t="s">
        <v>1826</v>
      </c>
      <c r="E188" s="39" t="s">
        <v>1849</v>
      </c>
      <c r="F188" s="39" t="s">
        <v>76</v>
      </c>
      <c r="G188" s="39" t="s">
        <v>77</v>
      </c>
      <c r="H188" s="39" t="s">
        <v>1790</v>
      </c>
      <c r="I188" s="41"/>
      <c r="J188" s="50" t="s">
        <v>105</v>
      </c>
      <c r="K188" s="41" t="s">
        <v>1608</v>
      </c>
      <c r="L188" s="39" t="s">
        <v>1850</v>
      </c>
      <c r="M188" s="39" t="s">
        <v>304</v>
      </c>
      <c r="N188" s="39"/>
      <c r="O188" s="40" t="s">
        <v>1611</v>
      </c>
      <c r="P188" s="40"/>
      <c r="Q188" s="39" t="s">
        <v>1851</v>
      </c>
      <c r="R188" s="43" t="s">
        <v>1830</v>
      </c>
      <c r="S188" s="44" t="s">
        <v>151</v>
      </c>
      <c r="T188" s="45">
        <v>46273.0</v>
      </c>
      <c r="U188" s="41" t="s">
        <v>1852</v>
      </c>
      <c r="V188" s="53">
        <v>9.83330051E8</v>
      </c>
      <c r="W188" s="54" t="s">
        <v>1853</v>
      </c>
      <c r="X188" s="39"/>
      <c r="Y188" s="48"/>
      <c r="Z188" s="77"/>
      <c r="AA188" s="39"/>
      <c r="AB188" s="38"/>
      <c r="AC188" s="38"/>
    </row>
    <row r="189" ht="14.25" customHeight="1">
      <c r="A189" s="39" t="s">
        <v>1790</v>
      </c>
      <c r="B189" s="39" t="s">
        <v>1605</v>
      </c>
      <c r="C189" s="39" t="s">
        <v>73</v>
      </c>
      <c r="D189" s="40" t="s">
        <v>1833</v>
      </c>
      <c r="E189" s="39" t="s">
        <v>1854</v>
      </c>
      <c r="F189" s="39" t="s">
        <v>76</v>
      </c>
      <c r="G189" s="39" t="s">
        <v>77</v>
      </c>
      <c r="H189" s="39" t="s">
        <v>1790</v>
      </c>
      <c r="I189" s="41"/>
      <c r="J189" s="42" t="s">
        <v>105</v>
      </c>
      <c r="K189" s="41" t="s">
        <v>1608</v>
      </c>
      <c r="L189" s="39" t="s">
        <v>1855</v>
      </c>
      <c r="M189" s="39" t="s">
        <v>269</v>
      </c>
      <c r="N189" s="39" t="s">
        <v>1856</v>
      </c>
      <c r="O189" s="40" t="s">
        <v>1611</v>
      </c>
      <c r="P189" s="40"/>
      <c r="Q189" s="39" t="s">
        <v>1857</v>
      </c>
      <c r="R189" s="43" t="s">
        <v>1837</v>
      </c>
      <c r="S189" s="44" t="s">
        <v>1838</v>
      </c>
      <c r="T189" s="45">
        <v>46924.0</v>
      </c>
      <c r="U189" s="41" t="s">
        <v>1858</v>
      </c>
      <c r="V189" s="53">
        <v>9.93867265E8</v>
      </c>
      <c r="W189" s="54" t="s">
        <v>1859</v>
      </c>
      <c r="X189" s="41" t="s">
        <v>1860</v>
      </c>
      <c r="Y189" s="55" t="s">
        <v>1861</v>
      </c>
      <c r="Z189" s="77"/>
      <c r="AA189" s="39"/>
      <c r="AB189" s="38"/>
      <c r="AC189" s="38"/>
    </row>
    <row r="190" ht="14.25" customHeight="1">
      <c r="A190" s="39" t="s">
        <v>1790</v>
      </c>
      <c r="B190" s="39" t="s">
        <v>1862</v>
      </c>
      <c r="C190" s="39" t="s">
        <v>126</v>
      </c>
      <c r="D190" s="40" t="s">
        <v>1863</v>
      </c>
      <c r="E190" s="39" t="s">
        <v>1864</v>
      </c>
      <c r="F190" s="39" t="s">
        <v>76</v>
      </c>
      <c r="G190" s="39" t="s">
        <v>202</v>
      </c>
      <c r="H190" s="39" t="s">
        <v>1790</v>
      </c>
      <c r="I190" s="39" t="s">
        <v>203</v>
      </c>
      <c r="J190" s="39" t="s">
        <v>129</v>
      </c>
      <c r="K190" s="39" t="s">
        <v>79</v>
      </c>
      <c r="L190" s="39" t="s">
        <v>1865</v>
      </c>
      <c r="M190" s="39" t="s">
        <v>1866</v>
      </c>
      <c r="N190" s="39"/>
      <c r="O190" s="40" t="s">
        <v>1867</v>
      </c>
      <c r="P190" s="40"/>
      <c r="Q190" s="39"/>
      <c r="R190" s="43" t="s">
        <v>133</v>
      </c>
      <c r="S190" s="44" t="s">
        <v>86</v>
      </c>
      <c r="T190" s="48"/>
      <c r="U190" s="39"/>
      <c r="V190" s="48"/>
      <c r="W190" s="57"/>
      <c r="X190" s="39"/>
      <c r="Y190" s="48"/>
      <c r="Z190" s="77"/>
      <c r="AA190" s="39"/>
      <c r="AB190" s="38"/>
      <c r="AC190" s="38"/>
    </row>
    <row r="191" ht="14.25" customHeight="1">
      <c r="A191" s="39" t="s">
        <v>1790</v>
      </c>
      <c r="B191" s="39" t="s">
        <v>1862</v>
      </c>
      <c r="C191" s="39" t="s">
        <v>73</v>
      </c>
      <c r="D191" s="40" t="s">
        <v>1868</v>
      </c>
      <c r="E191" s="39" t="s">
        <v>1869</v>
      </c>
      <c r="F191" s="39" t="s">
        <v>76</v>
      </c>
      <c r="G191" s="39" t="s">
        <v>77</v>
      </c>
      <c r="H191" s="39" t="s">
        <v>1790</v>
      </c>
      <c r="I191" s="39"/>
      <c r="J191" s="42" t="s">
        <v>105</v>
      </c>
      <c r="K191" s="41" t="s">
        <v>79</v>
      </c>
      <c r="L191" s="39" t="s">
        <v>1870</v>
      </c>
      <c r="M191" s="39" t="s">
        <v>1871</v>
      </c>
      <c r="N191" s="39" t="s">
        <v>1872</v>
      </c>
      <c r="O191" s="40" t="s">
        <v>1873</v>
      </c>
      <c r="P191" s="40"/>
      <c r="Q191" s="39" t="s">
        <v>1874</v>
      </c>
      <c r="R191" s="43"/>
      <c r="S191" s="51" t="s">
        <v>1875</v>
      </c>
      <c r="T191" s="52">
        <v>45230.0</v>
      </c>
      <c r="U191" s="41" t="s">
        <v>1876</v>
      </c>
      <c r="V191" s="53">
        <v>9.88244202E8</v>
      </c>
      <c r="W191" s="54" t="s">
        <v>1877</v>
      </c>
      <c r="X191" s="41" t="s">
        <v>1878</v>
      </c>
      <c r="Y191" s="55" t="s">
        <v>1879</v>
      </c>
      <c r="Z191" s="77"/>
      <c r="AA191" s="39"/>
      <c r="AB191" s="38"/>
      <c r="AC191" s="38"/>
    </row>
    <row r="192" ht="14.25" customHeight="1">
      <c r="A192" s="39" t="s">
        <v>1790</v>
      </c>
      <c r="B192" s="39" t="s">
        <v>1880</v>
      </c>
      <c r="C192" s="39" t="s">
        <v>73</v>
      </c>
      <c r="D192" s="40" t="s">
        <v>1816</v>
      </c>
      <c r="E192" s="39" t="s">
        <v>1881</v>
      </c>
      <c r="F192" s="39" t="s">
        <v>76</v>
      </c>
      <c r="G192" s="39" t="s">
        <v>93</v>
      </c>
      <c r="H192" s="39" t="s">
        <v>1790</v>
      </c>
      <c r="I192" s="39"/>
      <c r="J192" s="50" t="s">
        <v>105</v>
      </c>
      <c r="K192" s="41" t="s">
        <v>1608</v>
      </c>
      <c r="L192" s="39" t="s">
        <v>1882</v>
      </c>
      <c r="M192" s="39"/>
      <c r="N192" s="39" t="s">
        <v>1883</v>
      </c>
      <c r="O192" s="40" t="s">
        <v>1884</v>
      </c>
      <c r="P192" s="40"/>
      <c r="Q192" s="39" t="s">
        <v>1820</v>
      </c>
      <c r="R192" s="43" t="s">
        <v>1821</v>
      </c>
      <c r="S192" s="44" t="s">
        <v>151</v>
      </c>
      <c r="T192" s="45">
        <v>46273.0</v>
      </c>
      <c r="U192" s="50" t="s">
        <v>1822</v>
      </c>
      <c r="V192" s="78">
        <v>9.82899338E8</v>
      </c>
      <c r="W192" s="43" t="s">
        <v>1823</v>
      </c>
      <c r="X192" s="39"/>
      <c r="Y192" s="48"/>
      <c r="Z192" s="77"/>
      <c r="AA192" s="39"/>
      <c r="AB192" s="38"/>
      <c r="AC192" s="38"/>
    </row>
    <row r="193" ht="14.25" customHeight="1">
      <c r="A193" s="39" t="s">
        <v>1790</v>
      </c>
      <c r="B193" s="39" t="s">
        <v>1880</v>
      </c>
      <c r="C193" s="39" t="s">
        <v>73</v>
      </c>
      <c r="D193" s="40" t="s">
        <v>1816</v>
      </c>
      <c r="E193" s="39" t="s">
        <v>1885</v>
      </c>
      <c r="F193" s="39" t="s">
        <v>76</v>
      </c>
      <c r="G193" s="39" t="s">
        <v>93</v>
      </c>
      <c r="H193" s="39" t="s">
        <v>1790</v>
      </c>
      <c r="I193" s="39"/>
      <c r="J193" s="42" t="s">
        <v>105</v>
      </c>
      <c r="K193" s="41" t="s">
        <v>1608</v>
      </c>
      <c r="L193" s="39" t="s">
        <v>1886</v>
      </c>
      <c r="M193" s="39" t="s">
        <v>269</v>
      </c>
      <c r="N193" s="39" t="s">
        <v>1887</v>
      </c>
      <c r="O193" s="40" t="s">
        <v>1888</v>
      </c>
      <c r="P193" s="40"/>
      <c r="Q193" s="39" t="s">
        <v>1820</v>
      </c>
      <c r="R193" s="43" t="s">
        <v>1821</v>
      </c>
      <c r="S193" s="44" t="s">
        <v>151</v>
      </c>
      <c r="T193" s="45">
        <v>46273.0</v>
      </c>
      <c r="U193" s="42" t="s">
        <v>1822</v>
      </c>
      <c r="V193" s="56"/>
      <c r="W193" s="43" t="s">
        <v>1823</v>
      </c>
      <c r="X193" s="39"/>
      <c r="Y193" s="48"/>
      <c r="Z193" s="77"/>
      <c r="AA193" s="39"/>
      <c r="AB193" s="38"/>
      <c r="AC193" s="38"/>
    </row>
    <row r="194" ht="14.25" customHeight="1">
      <c r="A194" s="39" t="s">
        <v>1790</v>
      </c>
      <c r="B194" s="39" t="s">
        <v>1880</v>
      </c>
      <c r="C194" s="39" t="s">
        <v>73</v>
      </c>
      <c r="D194" s="40" t="s">
        <v>1889</v>
      </c>
      <c r="E194" s="39" t="s">
        <v>1890</v>
      </c>
      <c r="F194" s="39" t="s">
        <v>76</v>
      </c>
      <c r="G194" s="39" t="s">
        <v>77</v>
      </c>
      <c r="H194" s="39" t="s">
        <v>1790</v>
      </c>
      <c r="I194" s="39"/>
      <c r="J194" s="50" t="s">
        <v>78</v>
      </c>
      <c r="K194" s="41" t="s">
        <v>1608</v>
      </c>
      <c r="L194" s="39" t="s">
        <v>1891</v>
      </c>
      <c r="M194" s="39" t="s">
        <v>1892</v>
      </c>
      <c r="N194" s="39" t="s">
        <v>1893</v>
      </c>
      <c r="O194" s="40" t="s">
        <v>1894</v>
      </c>
      <c r="P194" s="40"/>
      <c r="Q194" s="39" t="s">
        <v>1895</v>
      </c>
      <c r="R194" s="43" t="s">
        <v>1896</v>
      </c>
      <c r="S194" s="51" t="s">
        <v>1897</v>
      </c>
      <c r="T194" s="70">
        <v>45104.0</v>
      </c>
      <c r="U194" s="41" t="s">
        <v>1898</v>
      </c>
      <c r="V194" s="53">
        <v>9.80863873E8</v>
      </c>
      <c r="W194" s="54" t="s">
        <v>1899</v>
      </c>
      <c r="X194" s="41" t="s">
        <v>1900</v>
      </c>
      <c r="Y194" s="55" t="s">
        <v>1901</v>
      </c>
      <c r="Z194" s="77"/>
      <c r="AA194" s="39"/>
      <c r="AB194" s="38"/>
      <c r="AC194" s="38"/>
    </row>
    <row r="195" ht="14.25" customHeight="1">
      <c r="A195" s="39" t="s">
        <v>1790</v>
      </c>
      <c r="B195" s="39" t="s">
        <v>1880</v>
      </c>
      <c r="C195" s="39" t="s">
        <v>73</v>
      </c>
      <c r="D195" s="40" t="s">
        <v>1816</v>
      </c>
      <c r="E195" s="39" t="s">
        <v>1902</v>
      </c>
      <c r="F195" s="39" t="s">
        <v>76</v>
      </c>
      <c r="G195" s="39" t="s">
        <v>77</v>
      </c>
      <c r="H195" s="39" t="s">
        <v>1790</v>
      </c>
      <c r="I195" s="39"/>
      <c r="J195" s="42" t="s">
        <v>105</v>
      </c>
      <c r="K195" s="41" t="s">
        <v>1608</v>
      </c>
      <c r="L195" s="39" t="s">
        <v>1903</v>
      </c>
      <c r="M195" s="39" t="s">
        <v>304</v>
      </c>
      <c r="N195" s="39" t="s">
        <v>1893</v>
      </c>
      <c r="O195" s="40" t="s">
        <v>1904</v>
      </c>
      <c r="P195" s="40"/>
      <c r="Q195" s="39" t="s">
        <v>1820</v>
      </c>
      <c r="R195" s="43" t="s">
        <v>1821</v>
      </c>
      <c r="S195" s="44" t="s">
        <v>151</v>
      </c>
      <c r="T195" s="45">
        <v>46273.0</v>
      </c>
      <c r="U195" s="50" t="s">
        <v>1905</v>
      </c>
      <c r="V195" s="78">
        <v>9.82899338E8</v>
      </c>
      <c r="W195" s="43" t="s">
        <v>1823</v>
      </c>
      <c r="X195" s="41" t="s">
        <v>1906</v>
      </c>
      <c r="Y195" s="55" t="s">
        <v>1907</v>
      </c>
      <c r="Z195" s="77"/>
      <c r="AA195" s="39"/>
      <c r="AB195" s="38"/>
      <c r="AC195" s="38"/>
    </row>
    <row r="196" ht="14.25" customHeight="1">
      <c r="A196" s="39" t="s">
        <v>1790</v>
      </c>
      <c r="B196" s="39" t="s">
        <v>1908</v>
      </c>
      <c r="C196" s="39" t="s">
        <v>73</v>
      </c>
      <c r="D196" s="40" t="s">
        <v>1909</v>
      </c>
      <c r="E196" s="39" t="s">
        <v>1910</v>
      </c>
      <c r="F196" s="39" t="s">
        <v>76</v>
      </c>
      <c r="G196" s="39" t="s">
        <v>77</v>
      </c>
      <c r="H196" s="39" t="s">
        <v>1790</v>
      </c>
      <c r="I196" s="39"/>
      <c r="J196" s="50" t="s">
        <v>105</v>
      </c>
      <c r="K196" s="41" t="s">
        <v>79</v>
      </c>
      <c r="L196" s="39" t="s">
        <v>146</v>
      </c>
      <c r="M196" s="39" t="s">
        <v>293</v>
      </c>
      <c r="N196" s="39" t="s">
        <v>1911</v>
      </c>
      <c r="O196" s="40" t="s">
        <v>1912</v>
      </c>
      <c r="P196" s="40"/>
      <c r="Q196" s="39" t="s">
        <v>1913</v>
      </c>
      <c r="R196" s="43" t="s">
        <v>1914</v>
      </c>
      <c r="S196" s="44" t="s">
        <v>151</v>
      </c>
      <c r="T196" s="45">
        <v>46273.0</v>
      </c>
      <c r="U196" s="41" t="s">
        <v>1915</v>
      </c>
      <c r="V196" s="53">
        <v>9.92859495E8</v>
      </c>
      <c r="W196" s="54" t="s">
        <v>1916</v>
      </c>
      <c r="X196" s="41" t="s">
        <v>1917</v>
      </c>
      <c r="Y196" s="55" t="s">
        <v>1918</v>
      </c>
      <c r="Z196" s="77"/>
      <c r="AA196" s="39"/>
      <c r="AB196" s="38"/>
      <c r="AC196" s="38"/>
    </row>
    <row r="197" ht="14.25" customHeight="1">
      <c r="A197" s="39" t="s">
        <v>1790</v>
      </c>
      <c r="B197" s="39" t="s">
        <v>1908</v>
      </c>
      <c r="C197" s="39" t="s">
        <v>73</v>
      </c>
      <c r="D197" s="40" t="s">
        <v>1919</v>
      </c>
      <c r="E197" s="39" t="s">
        <v>1920</v>
      </c>
      <c r="F197" s="39" t="s">
        <v>76</v>
      </c>
      <c r="G197" s="39" t="s">
        <v>77</v>
      </c>
      <c r="H197" s="39" t="s">
        <v>1790</v>
      </c>
      <c r="I197" s="39"/>
      <c r="J197" s="42" t="s">
        <v>105</v>
      </c>
      <c r="K197" s="41" t="s">
        <v>79</v>
      </c>
      <c r="L197" s="39" t="s">
        <v>1921</v>
      </c>
      <c r="M197" s="39" t="s">
        <v>1922</v>
      </c>
      <c r="N197" s="39" t="s">
        <v>1923</v>
      </c>
      <c r="O197" s="40" t="s">
        <v>1924</v>
      </c>
      <c r="P197" s="40"/>
      <c r="Q197" s="39" t="s">
        <v>1925</v>
      </c>
      <c r="R197" s="43"/>
      <c r="S197" s="44" t="s">
        <v>1926</v>
      </c>
      <c r="T197" s="45">
        <v>47608.0</v>
      </c>
      <c r="U197" s="41" t="s">
        <v>1927</v>
      </c>
      <c r="V197" s="53">
        <v>9.9963449E8</v>
      </c>
      <c r="W197" s="54" t="s">
        <v>1928</v>
      </c>
      <c r="X197" s="41" t="s">
        <v>1929</v>
      </c>
      <c r="Y197" s="55" t="s">
        <v>1930</v>
      </c>
      <c r="Z197" s="77"/>
      <c r="AA197" s="39"/>
      <c r="AB197" s="38"/>
      <c r="AC197" s="38"/>
    </row>
    <row r="198" ht="14.25" customHeight="1">
      <c r="A198" s="39" t="s">
        <v>1790</v>
      </c>
      <c r="B198" s="39" t="s">
        <v>1908</v>
      </c>
      <c r="C198" s="39" t="s">
        <v>73</v>
      </c>
      <c r="D198" s="40" t="s">
        <v>1931</v>
      </c>
      <c r="E198" s="39" t="s">
        <v>1932</v>
      </c>
      <c r="F198" s="39" t="s">
        <v>76</v>
      </c>
      <c r="G198" s="39" t="s">
        <v>77</v>
      </c>
      <c r="H198" s="39" t="s">
        <v>1790</v>
      </c>
      <c r="I198" s="39"/>
      <c r="J198" s="50" t="s">
        <v>105</v>
      </c>
      <c r="K198" s="41" t="s">
        <v>79</v>
      </c>
      <c r="L198" s="39" t="s">
        <v>1933</v>
      </c>
      <c r="M198" s="39" t="s">
        <v>269</v>
      </c>
      <c r="N198" s="39" t="s">
        <v>1934</v>
      </c>
      <c r="O198" s="40" t="s">
        <v>1935</v>
      </c>
      <c r="P198" s="40"/>
      <c r="Q198" s="39" t="s">
        <v>1936</v>
      </c>
      <c r="R198" s="43" t="s">
        <v>1937</v>
      </c>
      <c r="S198" s="44" t="s">
        <v>1938</v>
      </c>
      <c r="T198" s="61">
        <v>47078.0</v>
      </c>
      <c r="U198" s="41" t="s">
        <v>1939</v>
      </c>
      <c r="V198" s="53">
        <v>9.81341283E8</v>
      </c>
      <c r="W198" s="54" t="s">
        <v>1940</v>
      </c>
      <c r="X198" s="41" t="s">
        <v>1941</v>
      </c>
      <c r="Y198" s="55" t="s">
        <v>1942</v>
      </c>
      <c r="Z198" s="77"/>
      <c r="AA198" s="39"/>
      <c r="AB198" s="38"/>
      <c r="AC198" s="38"/>
    </row>
    <row r="199" ht="14.25" customHeight="1">
      <c r="A199" s="39" t="s">
        <v>1790</v>
      </c>
      <c r="B199" s="39" t="s">
        <v>1943</v>
      </c>
      <c r="C199" s="39" t="s">
        <v>126</v>
      </c>
      <c r="D199" s="40" t="s">
        <v>127</v>
      </c>
      <c r="E199" s="39" t="s">
        <v>1944</v>
      </c>
      <c r="F199" s="39" t="s">
        <v>76</v>
      </c>
      <c r="G199" s="39" t="s">
        <v>93</v>
      </c>
      <c r="H199" s="39" t="s">
        <v>1790</v>
      </c>
      <c r="I199" s="41" t="s">
        <v>203</v>
      </c>
      <c r="J199" s="39" t="s">
        <v>129</v>
      </c>
      <c r="K199" s="39" t="s">
        <v>79</v>
      </c>
      <c r="L199" s="39" t="s">
        <v>1945</v>
      </c>
      <c r="M199" s="39" t="s">
        <v>1946</v>
      </c>
      <c r="N199" s="39"/>
      <c r="O199" s="40" t="s">
        <v>1947</v>
      </c>
      <c r="P199" s="40"/>
      <c r="Q199" s="39"/>
      <c r="R199" s="43" t="s">
        <v>133</v>
      </c>
      <c r="S199" s="44" t="s">
        <v>86</v>
      </c>
      <c r="T199" s="48"/>
      <c r="U199" s="39"/>
      <c r="V199" s="48"/>
      <c r="W199" s="57"/>
      <c r="X199" s="39"/>
      <c r="Y199" s="48"/>
      <c r="Z199" s="77"/>
      <c r="AA199" s="39"/>
      <c r="AB199" s="38"/>
      <c r="AC199" s="38"/>
    </row>
    <row r="200" ht="14.25" customHeight="1">
      <c r="A200" s="39" t="s">
        <v>1790</v>
      </c>
      <c r="B200" s="39" t="s">
        <v>1943</v>
      </c>
      <c r="C200" s="39" t="s">
        <v>73</v>
      </c>
      <c r="D200" s="40" t="s">
        <v>1948</v>
      </c>
      <c r="E200" s="39" t="s">
        <v>1949</v>
      </c>
      <c r="F200" s="39" t="s">
        <v>76</v>
      </c>
      <c r="G200" s="39" t="s">
        <v>77</v>
      </c>
      <c r="H200" s="39" t="s">
        <v>1790</v>
      </c>
      <c r="I200" s="39"/>
      <c r="J200" s="50" t="s">
        <v>105</v>
      </c>
      <c r="K200" s="41" t="s">
        <v>79</v>
      </c>
      <c r="L200" s="39" t="s">
        <v>1950</v>
      </c>
      <c r="M200" s="39" t="s">
        <v>269</v>
      </c>
      <c r="N200" s="39" t="s">
        <v>1951</v>
      </c>
      <c r="O200" s="40" t="s">
        <v>1952</v>
      </c>
      <c r="P200" s="40"/>
      <c r="Q200" s="39" t="s">
        <v>1953</v>
      </c>
      <c r="R200" s="43" t="s">
        <v>1954</v>
      </c>
      <c r="S200" s="51" t="s">
        <v>1955</v>
      </c>
      <c r="T200" s="70">
        <v>45701.0</v>
      </c>
      <c r="U200" s="41" t="s">
        <v>1956</v>
      </c>
      <c r="V200" s="53">
        <v>9.8308058E8</v>
      </c>
      <c r="W200" s="54" t="s">
        <v>1957</v>
      </c>
      <c r="X200" s="41" t="s">
        <v>1958</v>
      </c>
      <c r="Y200" s="55" t="s">
        <v>1959</v>
      </c>
      <c r="Z200" s="77"/>
      <c r="AA200" s="39"/>
      <c r="AB200" s="38"/>
      <c r="AC200" s="38"/>
    </row>
    <row r="201" ht="14.25" customHeight="1">
      <c r="A201" s="39" t="s">
        <v>1960</v>
      </c>
      <c r="B201" s="39" t="s">
        <v>1961</v>
      </c>
      <c r="C201" s="39" t="s">
        <v>73</v>
      </c>
      <c r="D201" s="40" t="s">
        <v>1962</v>
      </c>
      <c r="E201" s="39" t="s">
        <v>1963</v>
      </c>
      <c r="F201" s="39" t="s">
        <v>76</v>
      </c>
      <c r="G201" s="39" t="s">
        <v>77</v>
      </c>
      <c r="H201" s="39" t="s">
        <v>1960</v>
      </c>
      <c r="I201" s="39"/>
      <c r="J201" s="42" t="s">
        <v>105</v>
      </c>
      <c r="K201" s="41" t="s">
        <v>79</v>
      </c>
      <c r="L201" s="39" t="s">
        <v>1964</v>
      </c>
      <c r="M201" s="39" t="s">
        <v>1965</v>
      </c>
      <c r="N201" s="39" t="s">
        <v>1966</v>
      </c>
      <c r="O201" s="40" t="s">
        <v>1967</v>
      </c>
      <c r="P201" s="40"/>
      <c r="Q201" s="39" t="s">
        <v>1968</v>
      </c>
      <c r="R201" s="43" t="s">
        <v>1969</v>
      </c>
      <c r="S201" s="44" t="s">
        <v>1970</v>
      </c>
      <c r="T201" s="61">
        <v>47043.0</v>
      </c>
      <c r="U201" s="41" t="s">
        <v>1971</v>
      </c>
      <c r="V201" s="53">
        <v>9.8121575E8</v>
      </c>
      <c r="W201" s="54" t="s">
        <v>1972</v>
      </c>
      <c r="X201" s="41" t="s">
        <v>1973</v>
      </c>
      <c r="Y201" s="55" t="s">
        <v>1974</v>
      </c>
      <c r="Z201" s="77"/>
      <c r="AA201" s="39"/>
      <c r="AB201" s="38"/>
      <c r="AC201" s="38"/>
    </row>
    <row r="202" ht="14.25" customHeight="1">
      <c r="A202" s="39" t="s">
        <v>1960</v>
      </c>
      <c r="B202" s="39" t="s">
        <v>1961</v>
      </c>
      <c r="C202" s="39" t="s">
        <v>73</v>
      </c>
      <c r="D202" s="40" t="s">
        <v>1975</v>
      </c>
      <c r="E202" s="39" t="s">
        <v>1976</v>
      </c>
      <c r="F202" s="39" t="s">
        <v>76</v>
      </c>
      <c r="G202" s="39" t="s">
        <v>77</v>
      </c>
      <c r="H202" s="39" t="s">
        <v>1960</v>
      </c>
      <c r="I202" s="39"/>
      <c r="J202" s="50" t="s">
        <v>105</v>
      </c>
      <c r="K202" s="41" t="s">
        <v>79</v>
      </c>
      <c r="L202" s="39" t="s">
        <v>1977</v>
      </c>
      <c r="M202" s="39" t="s">
        <v>269</v>
      </c>
      <c r="N202" s="39" t="s">
        <v>1978</v>
      </c>
      <c r="O202" s="40" t="s">
        <v>1979</v>
      </c>
      <c r="P202" s="40"/>
      <c r="Q202" s="39" t="s">
        <v>1980</v>
      </c>
      <c r="R202" s="43" t="s">
        <v>1981</v>
      </c>
      <c r="S202" s="44" t="s">
        <v>1982</v>
      </c>
      <c r="T202" s="61">
        <v>47413.0</v>
      </c>
      <c r="U202" s="41" t="s">
        <v>1983</v>
      </c>
      <c r="V202" s="53">
        <v>9.82472511E8</v>
      </c>
      <c r="W202" s="54" t="s">
        <v>1984</v>
      </c>
      <c r="X202" s="39"/>
      <c r="Y202" s="48"/>
      <c r="Z202" s="77"/>
      <c r="AA202" s="39"/>
      <c r="AB202" s="38"/>
      <c r="AC202" s="38"/>
    </row>
    <row r="203" ht="14.25" customHeight="1">
      <c r="A203" s="39" t="s">
        <v>1960</v>
      </c>
      <c r="B203" s="39" t="s">
        <v>1985</v>
      </c>
      <c r="C203" s="39" t="s">
        <v>126</v>
      </c>
      <c r="D203" s="40" t="s">
        <v>1986</v>
      </c>
      <c r="E203" s="39" t="s">
        <v>1987</v>
      </c>
      <c r="F203" s="39" t="s">
        <v>76</v>
      </c>
      <c r="G203" s="39" t="s">
        <v>202</v>
      </c>
      <c r="H203" s="39" t="s">
        <v>1960</v>
      </c>
      <c r="I203" s="39" t="s">
        <v>203</v>
      </c>
      <c r="J203" s="39" t="s">
        <v>129</v>
      </c>
      <c r="K203" s="39" t="s">
        <v>79</v>
      </c>
      <c r="L203" s="39" t="s">
        <v>827</v>
      </c>
      <c r="M203" s="39" t="s">
        <v>1988</v>
      </c>
      <c r="N203" s="39"/>
      <c r="O203" s="40" t="s">
        <v>1989</v>
      </c>
      <c r="P203" s="40" t="s">
        <v>1990</v>
      </c>
      <c r="Q203" s="39"/>
      <c r="R203" s="43" t="s">
        <v>133</v>
      </c>
      <c r="S203" s="44" t="s">
        <v>1991</v>
      </c>
      <c r="T203" s="45">
        <v>47252.0</v>
      </c>
      <c r="U203" s="39"/>
      <c r="V203" s="48"/>
      <c r="W203" s="57"/>
      <c r="X203" s="39"/>
      <c r="Y203" s="48"/>
      <c r="Z203" s="77"/>
      <c r="AA203" s="39"/>
      <c r="AB203" s="38"/>
      <c r="AC203" s="38"/>
    </row>
    <row r="204" ht="14.25" customHeight="1">
      <c r="A204" s="39" t="s">
        <v>1960</v>
      </c>
      <c r="B204" s="39" t="s">
        <v>1985</v>
      </c>
      <c r="C204" s="39" t="s">
        <v>73</v>
      </c>
      <c r="D204" s="40" t="s">
        <v>1992</v>
      </c>
      <c r="E204" s="39" t="s">
        <v>1993</v>
      </c>
      <c r="F204" s="39" t="s">
        <v>76</v>
      </c>
      <c r="G204" s="39" t="s">
        <v>77</v>
      </c>
      <c r="H204" s="39" t="s">
        <v>1960</v>
      </c>
      <c r="I204" s="50"/>
      <c r="J204" s="50" t="s">
        <v>105</v>
      </c>
      <c r="K204" s="41" t="s">
        <v>79</v>
      </c>
      <c r="L204" s="39" t="s">
        <v>212</v>
      </c>
      <c r="M204" s="39" t="s">
        <v>293</v>
      </c>
      <c r="N204" s="39" t="s">
        <v>1994</v>
      </c>
      <c r="O204" s="40" t="s">
        <v>1995</v>
      </c>
      <c r="P204" s="40"/>
      <c r="Q204" s="39" t="s">
        <v>1996</v>
      </c>
      <c r="R204" s="43"/>
      <c r="S204" s="44" t="s">
        <v>1997</v>
      </c>
      <c r="T204" s="61">
        <v>47078.0</v>
      </c>
      <c r="U204" s="41" t="s">
        <v>1998</v>
      </c>
      <c r="V204" s="53">
        <v>9.91122442E8</v>
      </c>
      <c r="W204" s="54" t="s">
        <v>1999</v>
      </c>
      <c r="X204" s="41" t="s">
        <v>2000</v>
      </c>
      <c r="Y204" s="55" t="s">
        <v>2001</v>
      </c>
      <c r="Z204" s="77"/>
      <c r="AA204" s="39"/>
      <c r="AB204" s="38"/>
      <c r="AC204" s="38"/>
    </row>
    <row r="205" ht="14.25" customHeight="1">
      <c r="A205" s="39" t="s">
        <v>1960</v>
      </c>
      <c r="B205" s="39" t="s">
        <v>835</v>
      </c>
      <c r="C205" s="39" t="s">
        <v>73</v>
      </c>
      <c r="D205" s="40" t="s">
        <v>2002</v>
      </c>
      <c r="E205" s="39" t="s">
        <v>2003</v>
      </c>
      <c r="F205" s="39" t="s">
        <v>76</v>
      </c>
      <c r="G205" s="39" t="s">
        <v>77</v>
      </c>
      <c r="H205" s="39" t="s">
        <v>1960</v>
      </c>
      <c r="I205" s="39"/>
      <c r="J205" s="42" t="s">
        <v>105</v>
      </c>
      <c r="K205" s="41" t="s">
        <v>79</v>
      </c>
      <c r="L205" s="39" t="s">
        <v>2004</v>
      </c>
      <c r="M205" s="39" t="s">
        <v>2005</v>
      </c>
      <c r="N205" s="39" t="s">
        <v>2006</v>
      </c>
      <c r="O205" s="40" t="s">
        <v>2007</v>
      </c>
      <c r="P205" s="40"/>
      <c r="Q205" s="39" t="s">
        <v>2008</v>
      </c>
      <c r="R205" s="43" t="s">
        <v>2009</v>
      </c>
      <c r="S205" s="44" t="s">
        <v>2010</v>
      </c>
      <c r="T205" s="45">
        <v>47608.0</v>
      </c>
      <c r="U205" s="41" t="s">
        <v>2011</v>
      </c>
      <c r="V205" s="53">
        <v>9.88128151E8</v>
      </c>
      <c r="W205" s="54" t="s">
        <v>2012</v>
      </c>
      <c r="X205" s="39"/>
      <c r="Y205" s="48"/>
      <c r="Z205" s="77"/>
      <c r="AA205" s="39"/>
      <c r="AB205" s="38"/>
      <c r="AC205" s="38"/>
    </row>
    <row r="206" ht="14.25" customHeight="1">
      <c r="A206" s="39" t="s">
        <v>1960</v>
      </c>
      <c r="B206" s="39" t="s">
        <v>835</v>
      </c>
      <c r="C206" s="39" t="s">
        <v>73</v>
      </c>
      <c r="D206" s="40" t="s">
        <v>2013</v>
      </c>
      <c r="E206" s="39" t="s">
        <v>2014</v>
      </c>
      <c r="F206" s="39" t="s">
        <v>76</v>
      </c>
      <c r="G206" s="39" t="s">
        <v>77</v>
      </c>
      <c r="H206" s="39" t="s">
        <v>1960</v>
      </c>
      <c r="I206" s="39"/>
      <c r="J206" s="50" t="s">
        <v>105</v>
      </c>
      <c r="K206" s="41" t="s">
        <v>79</v>
      </c>
      <c r="L206" s="39" t="s">
        <v>2015</v>
      </c>
      <c r="M206" s="39" t="s">
        <v>670</v>
      </c>
      <c r="N206" s="39" t="s">
        <v>2016</v>
      </c>
      <c r="O206" s="40" t="s">
        <v>2017</v>
      </c>
      <c r="P206" s="40"/>
      <c r="Q206" s="39" t="s">
        <v>2018</v>
      </c>
      <c r="R206" s="43" t="s">
        <v>2019</v>
      </c>
      <c r="S206" s="44" t="s">
        <v>2020</v>
      </c>
      <c r="T206" s="45">
        <v>47734.0</v>
      </c>
      <c r="U206" s="41" t="s">
        <v>2021</v>
      </c>
      <c r="V206" s="53">
        <v>9.85485796E8</v>
      </c>
      <c r="W206" s="54" t="s">
        <v>2022</v>
      </c>
      <c r="X206" s="39"/>
      <c r="Y206" s="48"/>
      <c r="Z206" s="77"/>
      <c r="AA206" s="39"/>
      <c r="AB206" s="38"/>
      <c r="AC206" s="38"/>
    </row>
    <row r="207" ht="14.25" customHeight="1">
      <c r="A207" s="39" t="s">
        <v>1960</v>
      </c>
      <c r="B207" s="39" t="s">
        <v>2023</v>
      </c>
      <c r="C207" s="39" t="s">
        <v>73</v>
      </c>
      <c r="D207" s="40" t="s">
        <v>2024</v>
      </c>
      <c r="E207" s="39" t="s">
        <v>2025</v>
      </c>
      <c r="F207" s="39" t="s">
        <v>76</v>
      </c>
      <c r="G207" s="39" t="s">
        <v>77</v>
      </c>
      <c r="H207" s="39" t="s">
        <v>1960</v>
      </c>
      <c r="I207" s="39"/>
      <c r="J207" s="42" t="s">
        <v>105</v>
      </c>
      <c r="K207" s="41" t="s">
        <v>79</v>
      </c>
      <c r="L207" s="39" t="s">
        <v>168</v>
      </c>
      <c r="M207" s="39" t="s">
        <v>2026</v>
      </c>
      <c r="N207" s="39" t="s">
        <v>2027</v>
      </c>
      <c r="O207" s="40" t="s">
        <v>2028</v>
      </c>
      <c r="P207" s="40"/>
      <c r="Q207" s="39"/>
      <c r="R207" s="43"/>
      <c r="S207" s="44" t="s">
        <v>2029</v>
      </c>
      <c r="T207" s="45">
        <v>47608.0</v>
      </c>
      <c r="U207" s="41" t="s">
        <v>2030</v>
      </c>
      <c r="V207" s="53">
        <v>9.81988099E8</v>
      </c>
      <c r="W207" s="54" t="s">
        <v>2031</v>
      </c>
      <c r="X207" s="41" t="s">
        <v>2032</v>
      </c>
      <c r="Y207" s="55" t="s">
        <v>2033</v>
      </c>
      <c r="Z207" s="77"/>
      <c r="AA207" s="39"/>
      <c r="AB207" s="38"/>
      <c r="AC207" s="38"/>
    </row>
    <row r="208" ht="14.25" customHeight="1">
      <c r="A208" s="39" t="s">
        <v>1960</v>
      </c>
      <c r="B208" s="39" t="s">
        <v>2023</v>
      </c>
      <c r="C208" s="39" t="s">
        <v>73</v>
      </c>
      <c r="D208" s="40" t="s">
        <v>2034</v>
      </c>
      <c r="E208" s="39" t="s">
        <v>2035</v>
      </c>
      <c r="F208" s="39" t="s">
        <v>76</v>
      </c>
      <c r="G208" s="39" t="s">
        <v>77</v>
      </c>
      <c r="H208" s="39" t="s">
        <v>1960</v>
      </c>
      <c r="I208" s="39"/>
      <c r="J208" s="50" t="s">
        <v>105</v>
      </c>
      <c r="K208" s="41" t="s">
        <v>79</v>
      </c>
      <c r="L208" s="39" t="s">
        <v>2036</v>
      </c>
      <c r="M208" s="39" t="s">
        <v>2037</v>
      </c>
      <c r="N208" s="39" t="s">
        <v>2038</v>
      </c>
      <c r="O208" s="40" t="s">
        <v>2039</v>
      </c>
      <c r="P208" s="40"/>
      <c r="Q208" s="39" t="s">
        <v>2040</v>
      </c>
      <c r="R208" s="43"/>
      <c r="S208" s="51" t="s">
        <v>2041</v>
      </c>
      <c r="T208" s="70">
        <v>45095.0</v>
      </c>
      <c r="U208" s="41" t="s">
        <v>2042</v>
      </c>
      <c r="V208" s="53">
        <v>9.91233402E8</v>
      </c>
      <c r="W208" s="54" t="s">
        <v>2043</v>
      </c>
      <c r="X208" s="41" t="s">
        <v>2044</v>
      </c>
      <c r="Y208" s="55" t="s">
        <v>2045</v>
      </c>
      <c r="Z208" s="77"/>
      <c r="AA208" s="39"/>
      <c r="AB208" s="38"/>
      <c r="AC208" s="38"/>
    </row>
    <row r="209" ht="14.25" customHeight="1">
      <c r="A209" s="39" t="s">
        <v>1960</v>
      </c>
      <c r="B209" s="39" t="s">
        <v>2023</v>
      </c>
      <c r="C209" s="39" t="s">
        <v>73</v>
      </c>
      <c r="D209" s="40" t="s">
        <v>2046</v>
      </c>
      <c r="E209" s="39" t="s">
        <v>2047</v>
      </c>
      <c r="F209" s="39" t="s">
        <v>76</v>
      </c>
      <c r="G209" s="39" t="s">
        <v>77</v>
      </c>
      <c r="H209" s="39" t="s">
        <v>1960</v>
      </c>
      <c r="I209" s="39"/>
      <c r="J209" s="42" t="s">
        <v>78</v>
      </c>
      <c r="K209" s="41" t="s">
        <v>79</v>
      </c>
      <c r="L209" s="39" t="s">
        <v>2048</v>
      </c>
      <c r="M209" s="39" t="s">
        <v>2049</v>
      </c>
      <c r="N209" s="39" t="s">
        <v>2050</v>
      </c>
      <c r="O209" s="40" t="s">
        <v>2051</v>
      </c>
      <c r="P209" s="40"/>
      <c r="Q209" s="39" t="s">
        <v>2052</v>
      </c>
      <c r="R209" s="43" t="s">
        <v>2053</v>
      </c>
      <c r="S209" s="51" t="s">
        <v>2054</v>
      </c>
      <c r="T209" s="70">
        <v>42607.0</v>
      </c>
      <c r="U209" s="41" t="s">
        <v>2055</v>
      </c>
      <c r="V209" s="53">
        <v>9.81758083E8</v>
      </c>
      <c r="W209" s="54" t="s">
        <v>2056</v>
      </c>
      <c r="X209" s="39"/>
      <c r="Y209" s="48"/>
      <c r="Z209" s="77"/>
      <c r="AA209" s="39"/>
      <c r="AB209" s="38"/>
      <c r="AC209" s="38"/>
    </row>
    <row r="210" ht="14.25" customHeight="1">
      <c r="A210" s="39" t="s">
        <v>1960</v>
      </c>
      <c r="B210" s="39" t="s">
        <v>2023</v>
      </c>
      <c r="C210" s="39" t="s">
        <v>73</v>
      </c>
      <c r="D210" s="40" t="s">
        <v>2057</v>
      </c>
      <c r="E210" s="39" t="s">
        <v>2058</v>
      </c>
      <c r="F210" s="39" t="s">
        <v>76</v>
      </c>
      <c r="G210" s="39" t="s">
        <v>77</v>
      </c>
      <c r="H210" s="39" t="s">
        <v>1960</v>
      </c>
      <c r="I210" s="39"/>
      <c r="J210" s="50" t="s">
        <v>78</v>
      </c>
      <c r="K210" s="41" t="s">
        <v>79</v>
      </c>
      <c r="L210" s="39" t="s">
        <v>2059</v>
      </c>
      <c r="M210" s="39" t="s">
        <v>2060</v>
      </c>
      <c r="N210" s="39" t="s">
        <v>2061</v>
      </c>
      <c r="O210" s="40" t="s">
        <v>2062</v>
      </c>
      <c r="P210" s="40"/>
      <c r="Q210" s="39" t="s">
        <v>2063</v>
      </c>
      <c r="R210" s="43" t="s">
        <v>2064</v>
      </c>
      <c r="S210" s="44" t="s">
        <v>151</v>
      </c>
      <c r="T210" s="45">
        <v>46273.0</v>
      </c>
      <c r="U210" s="41" t="s">
        <v>2065</v>
      </c>
      <c r="V210" s="53">
        <v>9.82030283E8</v>
      </c>
      <c r="W210" s="54" t="s">
        <v>2066</v>
      </c>
      <c r="X210" s="41" t="s">
        <v>2067</v>
      </c>
      <c r="Y210" s="55" t="s">
        <v>2068</v>
      </c>
      <c r="Z210" s="77"/>
      <c r="AA210" s="39"/>
      <c r="AB210" s="38"/>
      <c r="AC210" s="38"/>
    </row>
    <row r="211" ht="14.25" customHeight="1">
      <c r="A211" s="39" t="s">
        <v>1960</v>
      </c>
      <c r="B211" s="39" t="s">
        <v>2069</v>
      </c>
      <c r="C211" s="39" t="s">
        <v>73</v>
      </c>
      <c r="D211" s="40" t="s">
        <v>2070</v>
      </c>
      <c r="E211" s="39" t="s">
        <v>2071</v>
      </c>
      <c r="F211" s="39" t="s">
        <v>76</v>
      </c>
      <c r="G211" s="39" t="s">
        <v>93</v>
      </c>
      <c r="H211" s="39" t="s">
        <v>1960</v>
      </c>
      <c r="I211" s="42"/>
      <c r="J211" s="42" t="s">
        <v>78</v>
      </c>
      <c r="K211" s="41" t="s">
        <v>79</v>
      </c>
      <c r="L211" s="39" t="s">
        <v>146</v>
      </c>
      <c r="M211" s="39" t="s">
        <v>2072</v>
      </c>
      <c r="N211" s="39"/>
      <c r="O211" s="40" t="s">
        <v>2073</v>
      </c>
      <c r="P211" s="40"/>
      <c r="Q211" s="39"/>
      <c r="R211" s="43"/>
      <c r="S211" s="44" t="s">
        <v>2074</v>
      </c>
      <c r="T211" s="45">
        <v>47252.0</v>
      </c>
      <c r="U211" s="41" t="s">
        <v>2075</v>
      </c>
      <c r="V211" s="53">
        <v>9.82402917E8</v>
      </c>
      <c r="W211" s="54" t="s">
        <v>2076</v>
      </c>
      <c r="X211" s="39"/>
      <c r="Y211" s="48"/>
      <c r="Z211" s="77"/>
      <c r="AA211" s="39"/>
      <c r="AB211" s="38"/>
      <c r="AC211" s="38"/>
    </row>
    <row r="212" ht="14.25" customHeight="1">
      <c r="A212" s="39" t="s">
        <v>1960</v>
      </c>
      <c r="B212" s="39" t="s">
        <v>2069</v>
      </c>
      <c r="C212" s="39" t="s">
        <v>73</v>
      </c>
      <c r="D212" s="40" t="s">
        <v>1962</v>
      </c>
      <c r="E212" s="39" t="s">
        <v>2077</v>
      </c>
      <c r="F212" s="39" t="s">
        <v>76</v>
      </c>
      <c r="G212" s="39" t="s">
        <v>93</v>
      </c>
      <c r="H212" s="39" t="s">
        <v>1960</v>
      </c>
      <c r="I212" s="39"/>
      <c r="J212" s="50" t="s">
        <v>78</v>
      </c>
      <c r="K212" s="41" t="s">
        <v>79</v>
      </c>
      <c r="L212" s="39" t="s">
        <v>2078</v>
      </c>
      <c r="M212" s="39" t="s">
        <v>2079</v>
      </c>
      <c r="N212" s="39"/>
      <c r="O212" s="40" t="s">
        <v>2080</v>
      </c>
      <c r="P212" s="40"/>
      <c r="Q212" s="39" t="s">
        <v>2081</v>
      </c>
      <c r="R212" s="43" t="s">
        <v>2082</v>
      </c>
      <c r="S212" s="44" t="s">
        <v>1970</v>
      </c>
      <c r="T212" s="61">
        <v>47043.0</v>
      </c>
      <c r="U212" s="41" t="s">
        <v>2083</v>
      </c>
      <c r="V212" s="53">
        <v>9.89713936E8</v>
      </c>
      <c r="W212" s="54" t="s">
        <v>2084</v>
      </c>
      <c r="X212" s="39"/>
      <c r="Y212" s="48"/>
      <c r="Z212" s="77"/>
      <c r="AA212" s="39"/>
      <c r="AB212" s="38"/>
      <c r="AC212" s="38"/>
    </row>
    <row r="213" ht="14.25" customHeight="1">
      <c r="A213" s="39" t="s">
        <v>1960</v>
      </c>
      <c r="B213" s="39" t="s">
        <v>2069</v>
      </c>
      <c r="C213" s="39" t="s">
        <v>126</v>
      </c>
      <c r="D213" s="40" t="s">
        <v>2085</v>
      </c>
      <c r="E213" s="39" t="s">
        <v>2086</v>
      </c>
      <c r="F213" s="39" t="s">
        <v>76</v>
      </c>
      <c r="G213" s="39" t="s">
        <v>202</v>
      </c>
      <c r="H213" s="39" t="s">
        <v>1960</v>
      </c>
      <c r="I213" s="39" t="s">
        <v>203</v>
      </c>
      <c r="J213" s="42" t="s">
        <v>78</v>
      </c>
      <c r="K213" s="39" t="s">
        <v>79</v>
      </c>
      <c r="L213" s="39" t="s">
        <v>2087</v>
      </c>
      <c r="M213" s="39" t="s">
        <v>2088</v>
      </c>
      <c r="N213" s="39"/>
      <c r="O213" s="40" t="s">
        <v>2089</v>
      </c>
      <c r="P213" s="40" t="s">
        <v>2090</v>
      </c>
      <c r="Q213" s="39"/>
      <c r="R213" s="43" t="s">
        <v>133</v>
      </c>
      <c r="S213" s="51" t="s">
        <v>2091</v>
      </c>
      <c r="T213" s="52">
        <v>45982.0</v>
      </c>
      <c r="U213" s="39"/>
      <c r="V213" s="48"/>
      <c r="W213" s="57"/>
      <c r="X213" s="39"/>
      <c r="Y213" s="48"/>
      <c r="Z213" s="77"/>
      <c r="AA213" s="39"/>
      <c r="AB213" s="38"/>
      <c r="AC213" s="38"/>
    </row>
    <row r="214" ht="14.25" customHeight="1">
      <c r="A214" s="39" t="s">
        <v>1960</v>
      </c>
      <c r="B214" s="39" t="s">
        <v>2069</v>
      </c>
      <c r="C214" s="39" t="s">
        <v>73</v>
      </c>
      <c r="D214" s="40" t="s">
        <v>2092</v>
      </c>
      <c r="E214" s="39" t="s">
        <v>2093</v>
      </c>
      <c r="F214" s="39" t="s">
        <v>76</v>
      </c>
      <c r="G214" s="39" t="s">
        <v>77</v>
      </c>
      <c r="H214" s="39" t="s">
        <v>1960</v>
      </c>
      <c r="I214" s="39"/>
      <c r="J214" s="50" t="s">
        <v>105</v>
      </c>
      <c r="K214" s="41" t="s">
        <v>79</v>
      </c>
      <c r="L214" s="39" t="s">
        <v>2094</v>
      </c>
      <c r="M214" s="39" t="s">
        <v>269</v>
      </c>
      <c r="N214" s="39" t="s">
        <v>2095</v>
      </c>
      <c r="O214" s="40" t="s">
        <v>2096</v>
      </c>
      <c r="P214" s="40"/>
      <c r="Q214" s="39" t="s">
        <v>2097</v>
      </c>
      <c r="R214" s="43" t="s">
        <v>2098</v>
      </c>
      <c r="S214" s="44" t="s">
        <v>151</v>
      </c>
      <c r="T214" s="45">
        <v>46273.0</v>
      </c>
      <c r="U214" s="41" t="s">
        <v>2099</v>
      </c>
      <c r="V214" s="53">
        <v>9.8701408E8</v>
      </c>
      <c r="W214" s="54" t="s">
        <v>2100</v>
      </c>
      <c r="X214" s="39"/>
      <c r="Y214" s="48"/>
      <c r="Z214" s="77"/>
      <c r="AA214" s="39"/>
      <c r="AB214" s="38"/>
      <c r="AC214" s="38"/>
    </row>
    <row r="215" ht="14.25" customHeight="1">
      <c r="A215" s="39" t="s">
        <v>1960</v>
      </c>
      <c r="B215" s="39" t="s">
        <v>2069</v>
      </c>
      <c r="C215" s="39" t="s">
        <v>73</v>
      </c>
      <c r="D215" s="40" t="s">
        <v>2070</v>
      </c>
      <c r="E215" s="39" t="s">
        <v>2101</v>
      </c>
      <c r="F215" s="39" t="s">
        <v>76</v>
      </c>
      <c r="G215" s="39" t="s">
        <v>77</v>
      </c>
      <c r="H215" s="39" t="s">
        <v>1960</v>
      </c>
      <c r="I215" s="39"/>
      <c r="J215" s="42" t="s">
        <v>105</v>
      </c>
      <c r="K215" s="41" t="s">
        <v>79</v>
      </c>
      <c r="L215" s="39" t="s">
        <v>2102</v>
      </c>
      <c r="M215" s="39" t="s">
        <v>2103</v>
      </c>
      <c r="N215" s="39" t="s">
        <v>2104</v>
      </c>
      <c r="O215" s="40" t="s">
        <v>2105</v>
      </c>
      <c r="P215" s="40"/>
      <c r="Q215" s="39" t="s">
        <v>2106</v>
      </c>
      <c r="R215" s="43"/>
      <c r="S215" s="44" t="s">
        <v>2074</v>
      </c>
      <c r="T215" s="45">
        <v>47252.0</v>
      </c>
      <c r="U215" s="41" t="s">
        <v>2107</v>
      </c>
      <c r="V215" s="53">
        <v>9.80265079E8</v>
      </c>
      <c r="W215" s="54" t="s">
        <v>2108</v>
      </c>
      <c r="X215" s="41" t="s">
        <v>2109</v>
      </c>
      <c r="Y215" s="55" t="s">
        <v>2110</v>
      </c>
      <c r="Z215" s="77"/>
      <c r="AA215" s="39"/>
      <c r="AB215" s="38"/>
      <c r="AC215" s="38"/>
    </row>
    <row r="216" ht="14.25" customHeight="1">
      <c r="A216" s="39" t="s">
        <v>1960</v>
      </c>
      <c r="B216" s="39" t="s">
        <v>2069</v>
      </c>
      <c r="C216" s="39" t="s">
        <v>73</v>
      </c>
      <c r="D216" s="40" t="s">
        <v>2111</v>
      </c>
      <c r="E216" s="39" t="s">
        <v>2112</v>
      </c>
      <c r="F216" s="39" t="s">
        <v>76</v>
      </c>
      <c r="G216" s="39" t="s">
        <v>77</v>
      </c>
      <c r="H216" s="39" t="s">
        <v>1960</v>
      </c>
      <c r="I216" s="39"/>
      <c r="J216" s="50" t="s">
        <v>78</v>
      </c>
      <c r="K216" s="41" t="s">
        <v>79</v>
      </c>
      <c r="L216" s="39" t="s">
        <v>2113</v>
      </c>
      <c r="M216" s="39" t="s">
        <v>2114</v>
      </c>
      <c r="N216" s="39" t="s">
        <v>2115</v>
      </c>
      <c r="O216" s="40" t="s">
        <v>2116</v>
      </c>
      <c r="P216" s="40"/>
      <c r="Q216" s="39" t="s">
        <v>2117</v>
      </c>
      <c r="R216" s="43"/>
      <c r="S216" s="51" t="s">
        <v>2118</v>
      </c>
      <c r="T216" s="70">
        <v>44586.0</v>
      </c>
      <c r="U216" s="42" t="s">
        <v>2119</v>
      </c>
      <c r="V216" s="56">
        <v>9.87473129E8</v>
      </c>
      <c r="W216" s="57"/>
      <c r="X216" s="41" t="s">
        <v>2120</v>
      </c>
      <c r="Y216" s="55" t="s">
        <v>2121</v>
      </c>
      <c r="Z216" s="77"/>
      <c r="AA216" s="39"/>
      <c r="AB216" s="38"/>
      <c r="AC216" s="38"/>
    </row>
    <row r="217" ht="14.25" customHeight="1">
      <c r="A217" s="39" t="s">
        <v>1960</v>
      </c>
      <c r="B217" s="39" t="s">
        <v>2069</v>
      </c>
      <c r="C217" s="39" t="s">
        <v>73</v>
      </c>
      <c r="D217" s="40" t="s">
        <v>2122</v>
      </c>
      <c r="E217" s="39" t="s">
        <v>2123</v>
      </c>
      <c r="F217" s="39" t="s">
        <v>76</v>
      </c>
      <c r="G217" s="39" t="s">
        <v>77</v>
      </c>
      <c r="H217" s="39" t="s">
        <v>1960</v>
      </c>
      <c r="I217" s="39"/>
      <c r="J217" s="42" t="s">
        <v>78</v>
      </c>
      <c r="K217" s="41" t="s">
        <v>79</v>
      </c>
      <c r="L217" s="39" t="s">
        <v>2124</v>
      </c>
      <c r="M217" s="39" t="s">
        <v>2125</v>
      </c>
      <c r="N217" s="39" t="s">
        <v>2126</v>
      </c>
      <c r="O217" s="40" t="s">
        <v>2127</v>
      </c>
      <c r="P217" s="40"/>
      <c r="Q217" s="39" t="s">
        <v>2128</v>
      </c>
      <c r="R217" s="43" t="s">
        <v>2129</v>
      </c>
      <c r="S217" s="44" t="s">
        <v>151</v>
      </c>
      <c r="T217" s="45">
        <v>46273.0</v>
      </c>
      <c r="U217" s="42" t="s">
        <v>2130</v>
      </c>
      <c r="V217" s="56">
        <v>9.80356372E8</v>
      </c>
      <c r="W217" s="57"/>
      <c r="X217" s="39"/>
      <c r="Y217" s="48"/>
      <c r="Z217" s="77"/>
      <c r="AA217" s="39"/>
      <c r="AB217" s="38"/>
      <c r="AC217" s="38"/>
    </row>
    <row r="218" ht="14.25" customHeight="1">
      <c r="A218" s="39" t="s">
        <v>1960</v>
      </c>
      <c r="B218" s="39" t="s">
        <v>2069</v>
      </c>
      <c r="C218" s="39" t="s">
        <v>73</v>
      </c>
      <c r="D218" s="40" t="s">
        <v>2131</v>
      </c>
      <c r="E218" s="39" t="s">
        <v>2132</v>
      </c>
      <c r="F218" s="39" t="s">
        <v>76</v>
      </c>
      <c r="G218" s="39" t="s">
        <v>77</v>
      </c>
      <c r="H218" s="39" t="s">
        <v>1960</v>
      </c>
      <c r="I218" s="41"/>
      <c r="J218" s="50" t="s">
        <v>105</v>
      </c>
      <c r="K218" s="41" t="s">
        <v>79</v>
      </c>
      <c r="L218" s="39" t="s">
        <v>2113</v>
      </c>
      <c r="M218" s="39" t="s">
        <v>269</v>
      </c>
      <c r="N218" s="39" t="s">
        <v>2133</v>
      </c>
      <c r="O218" s="40" t="s">
        <v>2116</v>
      </c>
      <c r="P218" s="40"/>
      <c r="Q218" s="39" t="s">
        <v>2134</v>
      </c>
      <c r="R218" s="43"/>
      <c r="S218" s="44" t="s">
        <v>2135</v>
      </c>
      <c r="T218" s="61">
        <v>47462.0</v>
      </c>
      <c r="U218" s="41" t="s">
        <v>2136</v>
      </c>
      <c r="V218" s="53">
        <v>9.81409696E8</v>
      </c>
      <c r="W218" s="54" t="s">
        <v>2137</v>
      </c>
      <c r="X218" s="41" t="s">
        <v>2138</v>
      </c>
      <c r="Y218" s="55" t="s">
        <v>2139</v>
      </c>
      <c r="Z218" s="77"/>
      <c r="AA218" s="39"/>
      <c r="AB218" s="38"/>
      <c r="AC218" s="38"/>
    </row>
    <row r="219" ht="14.25" customHeight="1">
      <c r="A219" s="39" t="s">
        <v>1960</v>
      </c>
      <c r="B219" s="39" t="s">
        <v>2140</v>
      </c>
      <c r="C219" s="39" t="s">
        <v>126</v>
      </c>
      <c r="D219" s="40" t="s">
        <v>2141</v>
      </c>
      <c r="E219" s="39" t="s">
        <v>2142</v>
      </c>
      <c r="F219" s="39" t="s">
        <v>76</v>
      </c>
      <c r="G219" s="39" t="s">
        <v>202</v>
      </c>
      <c r="H219" s="39" t="s">
        <v>1960</v>
      </c>
      <c r="I219" s="39" t="s">
        <v>203</v>
      </c>
      <c r="J219" s="58" t="s">
        <v>129</v>
      </c>
      <c r="K219" s="39" t="s">
        <v>79</v>
      </c>
      <c r="L219" s="39" t="s">
        <v>2143</v>
      </c>
      <c r="M219" s="39" t="s">
        <v>1478</v>
      </c>
      <c r="N219" s="39"/>
      <c r="O219" s="40" t="s">
        <v>2144</v>
      </c>
      <c r="P219" s="40"/>
      <c r="Q219" s="39"/>
      <c r="R219" s="43" t="s">
        <v>133</v>
      </c>
      <c r="S219" s="51" t="s">
        <v>2145</v>
      </c>
      <c r="T219" s="70">
        <v>46073.0</v>
      </c>
      <c r="U219" s="39"/>
      <c r="V219" s="48"/>
      <c r="W219" s="57"/>
      <c r="X219" s="39"/>
      <c r="Y219" s="48"/>
      <c r="Z219" s="77"/>
      <c r="AA219" s="39"/>
      <c r="AB219" s="38"/>
      <c r="AC219" s="38"/>
    </row>
    <row r="220" ht="14.25" customHeight="1">
      <c r="A220" s="39" t="s">
        <v>1960</v>
      </c>
      <c r="B220" s="39" t="s">
        <v>2140</v>
      </c>
      <c r="C220" s="39" t="s">
        <v>73</v>
      </c>
      <c r="D220" s="40" t="s">
        <v>2146</v>
      </c>
      <c r="E220" s="39" t="s">
        <v>2147</v>
      </c>
      <c r="F220" s="39" t="s">
        <v>76</v>
      </c>
      <c r="G220" s="39" t="s">
        <v>77</v>
      </c>
      <c r="H220" s="39" t="s">
        <v>1960</v>
      </c>
      <c r="I220" s="41"/>
      <c r="J220" s="50" t="s">
        <v>105</v>
      </c>
      <c r="K220" s="41" t="s">
        <v>79</v>
      </c>
      <c r="L220" s="39" t="s">
        <v>2148</v>
      </c>
      <c r="M220" s="39" t="s">
        <v>2149</v>
      </c>
      <c r="N220" s="39" t="s">
        <v>2150</v>
      </c>
      <c r="O220" s="40" t="s">
        <v>2151</v>
      </c>
      <c r="P220" s="40"/>
      <c r="Q220" s="39" t="s">
        <v>2152</v>
      </c>
      <c r="R220" s="43"/>
      <c r="S220" s="44" t="s">
        <v>2153</v>
      </c>
      <c r="T220" s="45">
        <v>47650.0</v>
      </c>
      <c r="U220" s="41" t="s">
        <v>2154</v>
      </c>
      <c r="V220" s="53">
        <v>9.81385338E8</v>
      </c>
      <c r="W220" s="54" t="s">
        <v>2155</v>
      </c>
      <c r="X220" s="41" t="s">
        <v>2156</v>
      </c>
      <c r="Y220" s="55" t="s">
        <v>2157</v>
      </c>
      <c r="Z220" s="77"/>
      <c r="AA220" s="39"/>
      <c r="AB220" s="38"/>
      <c r="AC220" s="38"/>
    </row>
    <row r="221" ht="14.25" customHeight="1">
      <c r="A221" s="39" t="s">
        <v>1960</v>
      </c>
      <c r="B221" s="39" t="s">
        <v>2140</v>
      </c>
      <c r="C221" s="39" t="s">
        <v>73</v>
      </c>
      <c r="D221" s="40" t="s">
        <v>2158</v>
      </c>
      <c r="E221" s="39" t="s">
        <v>2159</v>
      </c>
      <c r="F221" s="39" t="s">
        <v>76</v>
      </c>
      <c r="G221" s="39" t="s">
        <v>77</v>
      </c>
      <c r="H221" s="39" t="s">
        <v>1960</v>
      </c>
      <c r="I221" s="41"/>
      <c r="J221" s="42" t="s">
        <v>105</v>
      </c>
      <c r="K221" s="41" t="s">
        <v>79</v>
      </c>
      <c r="L221" s="39" t="s">
        <v>2160</v>
      </c>
      <c r="M221" s="39" t="s">
        <v>2161</v>
      </c>
      <c r="N221" s="39"/>
      <c r="O221" s="40" t="s">
        <v>2162</v>
      </c>
      <c r="P221" s="40"/>
      <c r="Q221" s="39" t="s">
        <v>2163</v>
      </c>
      <c r="R221" s="43"/>
      <c r="S221" s="44" t="s">
        <v>2164</v>
      </c>
      <c r="T221" s="61">
        <v>47411.0</v>
      </c>
      <c r="U221" s="42" t="s">
        <v>2165</v>
      </c>
      <c r="V221" s="56">
        <v>9.88631828E8</v>
      </c>
      <c r="W221" s="57"/>
      <c r="X221" s="41" t="s">
        <v>2166</v>
      </c>
      <c r="Y221" s="55" t="s">
        <v>2167</v>
      </c>
      <c r="Z221" s="77"/>
      <c r="AA221" s="39"/>
      <c r="AB221" s="38"/>
      <c r="AC221" s="38"/>
    </row>
    <row r="222" ht="14.25" customHeight="1">
      <c r="A222" s="79" t="s">
        <v>1960</v>
      </c>
      <c r="B222" s="79" t="s">
        <v>2140</v>
      </c>
      <c r="C222" s="79" t="s">
        <v>73</v>
      </c>
      <c r="D222" s="80" t="s">
        <v>2168</v>
      </c>
      <c r="E222" s="79" t="s">
        <v>2169</v>
      </c>
      <c r="F222" s="79" t="s">
        <v>76</v>
      </c>
      <c r="G222" s="79" t="s">
        <v>77</v>
      </c>
      <c r="H222" s="79" t="s">
        <v>1960</v>
      </c>
      <c r="I222" s="81"/>
      <c r="J222" s="82" t="s">
        <v>105</v>
      </c>
      <c r="K222" s="83" t="s">
        <v>79</v>
      </c>
      <c r="L222" s="79" t="s">
        <v>2170</v>
      </c>
      <c r="M222" s="79" t="s">
        <v>269</v>
      </c>
      <c r="N222" s="79" t="s">
        <v>2171</v>
      </c>
      <c r="O222" s="80" t="s">
        <v>2172</v>
      </c>
      <c r="P222" s="80"/>
      <c r="Q222" s="79" t="s">
        <v>2173</v>
      </c>
      <c r="R222" s="84" t="s">
        <v>2174</v>
      </c>
      <c r="S222" s="85" t="s">
        <v>2175</v>
      </c>
      <c r="T222" s="86">
        <v>45392.0</v>
      </c>
      <c r="U222" s="81" t="s">
        <v>2176</v>
      </c>
      <c r="V222" s="53">
        <v>9.83150135E8</v>
      </c>
      <c r="W222" s="54" t="s">
        <v>2177</v>
      </c>
      <c r="X222" s="79"/>
      <c r="Y222" s="64"/>
      <c r="Z222" s="87"/>
      <c r="AA222" s="79"/>
      <c r="AB222" s="38"/>
      <c r="AC222" s="38"/>
    </row>
    <row r="223" ht="14.25" customHeight="1">
      <c r="R223" s="88"/>
      <c r="S223" s="23"/>
      <c r="T223" s="22"/>
      <c r="U223" s="24"/>
      <c r="V223" s="25"/>
      <c r="W223" s="26"/>
      <c r="Y223" s="22"/>
    </row>
    <row r="224" ht="14.25" customHeight="1">
      <c r="R224" s="88"/>
      <c r="S224" s="23"/>
      <c r="T224" s="22"/>
      <c r="U224" s="24"/>
      <c r="V224" s="25"/>
      <c r="W224" s="26"/>
      <c r="Y224" s="22"/>
    </row>
    <row r="225" ht="14.25" customHeight="1">
      <c r="R225" s="88"/>
      <c r="S225" s="23"/>
      <c r="T225" s="22"/>
      <c r="U225" s="24"/>
      <c r="V225" s="25"/>
      <c r="W225" s="26"/>
      <c r="Y225" s="22"/>
    </row>
    <row r="226" ht="14.25" customHeight="1">
      <c r="R226" s="88"/>
      <c r="S226" s="23"/>
      <c r="T226" s="22"/>
      <c r="U226" s="24"/>
      <c r="V226" s="25"/>
      <c r="W226" s="26"/>
      <c r="Y226" s="22"/>
    </row>
    <row r="227" ht="14.25" customHeight="1">
      <c r="R227" s="88"/>
      <c r="S227" s="23"/>
      <c r="T227" s="22"/>
      <c r="U227" s="24"/>
      <c r="V227" s="25"/>
      <c r="W227" s="26"/>
      <c r="Y227" s="22"/>
    </row>
    <row r="228" ht="14.25" customHeight="1">
      <c r="R228" s="88"/>
      <c r="S228" s="23"/>
      <c r="T228" s="22"/>
      <c r="U228" s="24"/>
      <c r="V228" s="25"/>
      <c r="W228" s="26"/>
      <c r="Y228" s="22"/>
    </row>
    <row r="229" ht="14.25" customHeight="1">
      <c r="R229" s="88"/>
      <c r="S229" s="23"/>
      <c r="T229" s="22"/>
      <c r="U229" s="24"/>
      <c r="V229" s="25"/>
      <c r="W229" s="26"/>
      <c r="Y229" s="22"/>
    </row>
    <row r="230" ht="14.25" customHeight="1">
      <c r="R230" s="88"/>
      <c r="S230" s="23"/>
      <c r="T230" s="22"/>
      <c r="U230" s="24"/>
      <c r="V230" s="25"/>
      <c r="W230" s="26"/>
      <c r="Y230" s="22"/>
    </row>
    <row r="231" ht="14.25" customHeight="1">
      <c r="R231" s="88"/>
      <c r="S231" s="23"/>
      <c r="T231" s="22"/>
      <c r="U231" s="24"/>
      <c r="V231" s="25"/>
      <c r="W231" s="26"/>
      <c r="Y231" s="22"/>
    </row>
    <row r="232" ht="14.25" customHeight="1">
      <c r="R232" s="88"/>
      <c r="S232" s="23"/>
      <c r="T232" s="22"/>
      <c r="U232" s="24"/>
      <c r="V232" s="25"/>
      <c r="W232" s="26"/>
      <c r="Y232" s="22"/>
    </row>
    <row r="233" ht="14.25" customHeight="1">
      <c r="R233" s="88"/>
      <c r="S233" s="23"/>
      <c r="T233" s="22"/>
      <c r="U233" s="24"/>
      <c r="V233" s="25"/>
      <c r="W233" s="26"/>
      <c r="Y233" s="22"/>
    </row>
    <row r="234" ht="14.25" customHeight="1">
      <c r="R234" s="88"/>
      <c r="S234" s="23"/>
      <c r="T234" s="22"/>
      <c r="U234" s="24"/>
      <c r="V234" s="25"/>
      <c r="W234" s="26"/>
      <c r="Y234" s="22"/>
    </row>
    <row r="235" ht="14.25" customHeight="1">
      <c r="R235" s="88"/>
      <c r="S235" s="23"/>
      <c r="T235" s="22"/>
      <c r="U235" s="24"/>
      <c r="V235" s="25"/>
      <c r="W235" s="26"/>
      <c r="Y235" s="22"/>
    </row>
    <row r="236" ht="14.25" customHeight="1">
      <c r="R236" s="22"/>
      <c r="S236" s="23"/>
      <c r="T236" s="22"/>
      <c r="U236" s="24"/>
      <c r="V236" s="25"/>
      <c r="W236" s="26"/>
      <c r="Y236" s="22"/>
    </row>
    <row r="237" ht="14.25" customHeight="1">
      <c r="R237" s="22"/>
      <c r="S237" s="23"/>
      <c r="T237" s="22"/>
      <c r="U237" s="24"/>
      <c r="V237" s="25"/>
      <c r="W237" s="26"/>
      <c r="Y237" s="22"/>
    </row>
    <row r="238" ht="14.25" customHeight="1">
      <c r="R238" s="22"/>
      <c r="S238" s="23"/>
      <c r="T238" s="22"/>
      <c r="U238" s="24"/>
      <c r="V238" s="25"/>
      <c r="W238" s="26"/>
      <c r="Y238" s="22"/>
    </row>
    <row r="239" ht="14.25" customHeight="1">
      <c r="R239" s="22"/>
      <c r="S239" s="23"/>
      <c r="T239" s="22"/>
      <c r="U239" s="24"/>
      <c r="V239" s="25"/>
      <c r="W239" s="26"/>
      <c r="Y239" s="22"/>
    </row>
    <row r="240" ht="14.25" customHeight="1">
      <c r="R240" s="22"/>
      <c r="S240" s="23"/>
      <c r="T240" s="22"/>
      <c r="U240" s="24"/>
      <c r="V240" s="25"/>
      <c r="W240" s="26"/>
      <c r="Y240" s="22"/>
    </row>
    <row r="241" ht="14.25" customHeight="1">
      <c r="R241" s="22"/>
      <c r="S241" s="23"/>
      <c r="T241" s="22"/>
      <c r="U241" s="24"/>
      <c r="V241" s="25"/>
      <c r="W241" s="26"/>
      <c r="Y241" s="22"/>
    </row>
    <row r="242" ht="14.25" customHeight="1">
      <c r="R242" s="22"/>
      <c r="S242" s="23"/>
      <c r="T242" s="22"/>
      <c r="U242" s="24"/>
      <c r="V242" s="25"/>
      <c r="W242" s="26"/>
      <c r="Y242" s="22"/>
    </row>
    <row r="243" ht="14.25" customHeight="1">
      <c r="R243" s="22"/>
      <c r="S243" s="23"/>
      <c r="T243" s="22"/>
      <c r="U243" s="24"/>
      <c r="V243" s="25"/>
      <c r="W243" s="26"/>
      <c r="Y243" s="22"/>
    </row>
    <row r="244" ht="14.25" customHeight="1">
      <c r="R244" s="22"/>
      <c r="S244" s="23"/>
      <c r="T244" s="22"/>
      <c r="U244" s="24"/>
      <c r="V244" s="25"/>
      <c r="W244" s="26"/>
      <c r="Y244" s="22"/>
    </row>
    <row r="245" ht="14.25" customHeight="1">
      <c r="R245" s="22"/>
      <c r="S245" s="23"/>
      <c r="T245" s="22"/>
      <c r="U245" s="24"/>
      <c r="V245" s="25"/>
      <c r="W245" s="26"/>
      <c r="Y245" s="22"/>
    </row>
    <row r="246" ht="14.25" customHeight="1">
      <c r="R246" s="22"/>
      <c r="S246" s="23"/>
      <c r="T246" s="22"/>
      <c r="U246" s="24"/>
      <c r="V246" s="25"/>
      <c r="W246" s="26"/>
      <c r="Y246" s="22"/>
    </row>
    <row r="247" ht="14.25" customHeight="1">
      <c r="R247" s="22"/>
      <c r="S247" s="23"/>
      <c r="T247" s="22"/>
      <c r="U247" s="24"/>
      <c r="V247" s="25"/>
      <c r="W247" s="26"/>
      <c r="Y247" s="22"/>
    </row>
    <row r="248" ht="14.25" customHeight="1">
      <c r="R248" s="22"/>
      <c r="S248" s="23"/>
      <c r="T248" s="22"/>
      <c r="U248" s="24"/>
      <c r="V248" s="25"/>
      <c r="W248" s="26"/>
      <c r="Y248" s="22"/>
    </row>
    <row r="249" ht="14.25" customHeight="1">
      <c r="R249" s="22"/>
      <c r="S249" s="23"/>
      <c r="T249" s="22"/>
      <c r="U249" s="24"/>
      <c r="V249" s="25"/>
      <c r="W249" s="26"/>
      <c r="Y249" s="22"/>
    </row>
    <row r="250" ht="14.25" customHeight="1">
      <c r="R250" s="22"/>
      <c r="S250" s="23"/>
      <c r="T250" s="22"/>
      <c r="U250" s="24"/>
      <c r="V250" s="25"/>
      <c r="W250" s="26"/>
      <c r="Y250" s="22"/>
    </row>
    <row r="251" ht="14.25" customHeight="1">
      <c r="R251" s="22"/>
      <c r="S251" s="23"/>
      <c r="T251" s="22"/>
      <c r="U251" s="24"/>
      <c r="V251" s="25"/>
      <c r="W251" s="26"/>
      <c r="Y251" s="22"/>
    </row>
    <row r="252" ht="14.25" customHeight="1">
      <c r="R252" s="22"/>
      <c r="S252" s="23"/>
      <c r="T252" s="22"/>
      <c r="U252" s="24"/>
      <c r="V252" s="25"/>
      <c r="W252" s="26"/>
      <c r="Y252" s="22"/>
    </row>
    <row r="253" ht="14.25" customHeight="1">
      <c r="R253" s="22"/>
      <c r="S253" s="23"/>
      <c r="T253" s="22"/>
      <c r="U253" s="24"/>
      <c r="V253" s="25"/>
      <c r="W253" s="26"/>
      <c r="Y253" s="22"/>
    </row>
    <row r="254" ht="14.25" customHeight="1">
      <c r="R254" s="22"/>
      <c r="S254" s="23"/>
      <c r="T254" s="22"/>
      <c r="U254" s="24"/>
      <c r="V254" s="25"/>
      <c r="W254" s="26"/>
      <c r="Y254" s="22"/>
    </row>
    <row r="255" ht="14.25" customHeight="1">
      <c r="R255" s="22"/>
      <c r="S255" s="23"/>
      <c r="T255" s="22"/>
      <c r="U255" s="24"/>
      <c r="V255" s="25"/>
      <c r="W255" s="26"/>
      <c r="Y255" s="22"/>
    </row>
    <row r="256" ht="14.25" customHeight="1">
      <c r="R256" s="22"/>
      <c r="S256" s="23"/>
      <c r="T256" s="22"/>
      <c r="U256" s="24"/>
      <c r="V256" s="25"/>
      <c r="W256" s="26"/>
      <c r="Y256" s="22"/>
    </row>
    <row r="257" ht="14.25" customHeight="1">
      <c r="R257" s="22"/>
      <c r="S257" s="23"/>
      <c r="T257" s="22"/>
      <c r="U257" s="24"/>
      <c r="V257" s="25"/>
      <c r="W257" s="26"/>
      <c r="Y257" s="22"/>
    </row>
    <row r="258" ht="14.25" customHeight="1">
      <c r="R258" s="22"/>
      <c r="S258" s="23"/>
      <c r="T258" s="22"/>
      <c r="U258" s="24"/>
      <c r="V258" s="25"/>
      <c r="W258" s="26"/>
      <c r="Y258" s="22"/>
    </row>
    <row r="259" ht="14.25" customHeight="1">
      <c r="R259" s="22"/>
      <c r="S259" s="23"/>
      <c r="T259" s="22"/>
      <c r="U259" s="24"/>
      <c r="V259" s="25"/>
      <c r="W259" s="26"/>
      <c r="Y259" s="22"/>
    </row>
    <row r="260" ht="14.25" customHeight="1">
      <c r="R260" s="22"/>
      <c r="S260" s="23"/>
      <c r="T260" s="22"/>
      <c r="U260" s="24"/>
      <c r="V260" s="25"/>
      <c r="W260" s="26"/>
      <c r="Y260" s="22"/>
    </row>
    <row r="261" ht="14.25" customHeight="1">
      <c r="R261" s="22"/>
      <c r="S261" s="23"/>
      <c r="T261" s="22"/>
      <c r="U261" s="24"/>
      <c r="V261" s="25"/>
      <c r="W261" s="26"/>
      <c r="Y261" s="22"/>
    </row>
    <row r="262" ht="14.25" customHeight="1">
      <c r="R262" s="22"/>
      <c r="S262" s="23"/>
      <c r="T262" s="22"/>
      <c r="U262" s="24"/>
      <c r="V262" s="25"/>
      <c r="W262" s="26"/>
      <c r="Y262" s="22"/>
    </row>
    <row r="263" ht="14.25" customHeight="1">
      <c r="R263" s="22"/>
      <c r="S263" s="23"/>
      <c r="T263" s="22"/>
      <c r="U263" s="24"/>
      <c r="V263" s="25"/>
      <c r="W263" s="26"/>
      <c r="Y263" s="22"/>
    </row>
    <row r="264" ht="14.25" customHeight="1">
      <c r="R264" s="22"/>
      <c r="S264" s="23"/>
      <c r="T264" s="22"/>
      <c r="U264" s="24"/>
      <c r="V264" s="25"/>
      <c r="W264" s="26"/>
      <c r="Y264" s="22"/>
    </row>
    <row r="265" ht="14.25" customHeight="1">
      <c r="R265" s="22"/>
      <c r="S265" s="23"/>
      <c r="T265" s="22"/>
      <c r="U265" s="24"/>
      <c r="V265" s="25"/>
      <c r="W265" s="26"/>
      <c r="Y265" s="22"/>
    </row>
    <row r="266" ht="14.25" customHeight="1">
      <c r="R266" s="22"/>
      <c r="S266" s="23"/>
      <c r="T266" s="22"/>
      <c r="U266" s="24"/>
      <c r="V266" s="25"/>
      <c r="W266" s="26"/>
      <c r="Y266" s="22"/>
    </row>
    <row r="267" ht="14.25" customHeight="1">
      <c r="R267" s="22"/>
      <c r="S267" s="23"/>
      <c r="T267" s="22"/>
      <c r="U267" s="24"/>
      <c r="V267" s="25"/>
      <c r="W267" s="26"/>
      <c r="Y267" s="22"/>
    </row>
    <row r="268" ht="14.25" customHeight="1">
      <c r="R268" s="22"/>
      <c r="S268" s="23"/>
      <c r="T268" s="22"/>
      <c r="U268" s="24"/>
      <c r="V268" s="25"/>
      <c r="W268" s="26"/>
      <c r="Y268" s="22"/>
    </row>
    <row r="269" ht="14.25" customHeight="1">
      <c r="R269" s="22"/>
      <c r="S269" s="23"/>
      <c r="T269" s="22"/>
      <c r="U269" s="24"/>
      <c r="V269" s="25"/>
      <c r="W269" s="26"/>
      <c r="Y269" s="22"/>
    </row>
    <row r="270" ht="14.25" customHeight="1">
      <c r="R270" s="22"/>
      <c r="S270" s="23"/>
      <c r="T270" s="22"/>
      <c r="U270" s="24"/>
      <c r="V270" s="25"/>
      <c r="W270" s="26"/>
      <c r="Y270" s="22"/>
    </row>
    <row r="271" ht="14.25" customHeight="1">
      <c r="R271" s="22"/>
      <c r="S271" s="23"/>
      <c r="T271" s="22"/>
      <c r="U271" s="24"/>
      <c r="V271" s="25"/>
      <c r="W271" s="26"/>
      <c r="Y271" s="22"/>
    </row>
    <row r="272" ht="14.25" customHeight="1">
      <c r="R272" s="22"/>
      <c r="S272" s="23"/>
      <c r="T272" s="22"/>
      <c r="U272" s="24"/>
      <c r="V272" s="25"/>
      <c r="W272" s="26"/>
      <c r="Y272" s="22"/>
    </row>
    <row r="273" ht="14.25" customHeight="1">
      <c r="R273" s="22"/>
      <c r="S273" s="23"/>
      <c r="T273" s="22"/>
      <c r="U273" s="24"/>
      <c r="V273" s="25"/>
      <c r="W273" s="26"/>
      <c r="Y273" s="22"/>
    </row>
    <row r="274" ht="14.25" customHeight="1">
      <c r="R274" s="22"/>
      <c r="S274" s="23"/>
      <c r="T274" s="22"/>
      <c r="U274" s="24"/>
      <c r="V274" s="25"/>
      <c r="W274" s="26"/>
      <c r="Y274" s="22"/>
    </row>
    <row r="275" ht="14.25" customHeight="1">
      <c r="R275" s="22"/>
      <c r="S275" s="23"/>
      <c r="T275" s="22"/>
      <c r="U275" s="24"/>
      <c r="V275" s="25"/>
      <c r="W275" s="26"/>
      <c r="Y275" s="22"/>
    </row>
    <row r="276" ht="14.25" customHeight="1">
      <c r="R276" s="22"/>
      <c r="S276" s="23"/>
      <c r="T276" s="22"/>
      <c r="U276" s="24"/>
      <c r="V276" s="25"/>
      <c r="W276" s="26"/>
      <c r="Y276" s="22"/>
    </row>
    <row r="277" ht="14.25" customHeight="1">
      <c r="R277" s="22"/>
      <c r="S277" s="23"/>
      <c r="T277" s="22"/>
      <c r="U277" s="24"/>
      <c r="V277" s="25"/>
      <c r="W277" s="26"/>
      <c r="Y277" s="22"/>
    </row>
    <row r="278" ht="14.25" customHeight="1">
      <c r="R278" s="22"/>
      <c r="S278" s="23"/>
      <c r="T278" s="22"/>
      <c r="U278" s="24"/>
      <c r="V278" s="25"/>
      <c r="W278" s="26"/>
      <c r="Y278" s="22"/>
    </row>
    <row r="279" ht="14.25" customHeight="1">
      <c r="R279" s="22"/>
      <c r="S279" s="23"/>
      <c r="T279" s="22"/>
      <c r="U279" s="24"/>
      <c r="V279" s="25"/>
      <c r="W279" s="26"/>
      <c r="Y279" s="22"/>
    </row>
    <row r="280" ht="14.25" customHeight="1">
      <c r="R280" s="22"/>
      <c r="S280" s="23"/>
      <c r="T280" s="22"/>
      <c r="U280" s="24"/>
      <c r="V280" s="25"/>
      <c r="W280" s="26"/>
      <c r="Y280" s="22"/>
    </row>
    <row r="281" ht="14.25" customHeight="1">
      <c r="R281" s="22"/>
      <c r="S281" s="23"/>
      <c r="T281" s="22"/>
      <c r="U281" s="24"/>
      <c r="V281" s="25"/>
      <c r="W281" s="26"/>
      <c r="Y281" s="22"/>
    </row>
    <row r="282" ht="14.25" customHeight="1">
      <c r="R282" s="22"/>
      <c r="S282" s="23"/>
      <c r="T282" s="22"/>
      <c r="U282" s="24"/>
      <c r="V282" s="25"/>
      <c r="W282" s="26"/>
      <c r="Y282" s="22"/>
    </row>
    <row r="283" ht="14.25" customHeight="1">
      <c r="R283" s="22"/>
      <c r="S283" s="23"/>
      <c r="T283" s="22"/>
      <c r="U283" s="24"/>
      <c r="V283" s="25"/>
      <c r="W283" s="26"/>
      <c r="Y283" s="22"/>
    </row>
    <row r="284" ht="14.25" customHeight="1">
      <c r="R284" s="22"/>
      <c r="S284" s="23"/>
      <c r="T284" s="22"/>
      <c r="U284" s="24"/>
      <c r="V284" s="25"/>
      <c r="W284" s="26"/>
      <c r="Y284" s="22"/>
    </row>
    <row r="285" ht="14.25" customHeight="1">
      <c r="R285" s="22"/>
      <c r="S285" s="23"/>
      <c r="T285" s="22"/>
      <c r="U285" s="24"/>
      <c r="V285" s="25"/>
      <c r="W285" s="26"/>
      <c r="Y285" s="22"/>
    </row>
    <row r="286" ht="14.25" customHeight="1">
      <c r="R286" s="22"/>
      <c r="S286" s="23"/>
      <c r="T286" s="22"/>
      <c r="U286" s="24"/>
      <c r="V286" s="25"/>
      <c r="W286" s="26"/>
      <c r="Y286" s="22"/>
    </row>
    <row r="287" ht="14.25" customHeight="1">
      <c r="R287" s="22"/>
      <c r="S287" s="23"/>
      <c r="T287" s="22"/>
      <c r="U287" s="24"/>
      <c r="V287" s="25"/>
      <c r="W287" s="26"/>
      <c r="Y287" s="22"/>
    </row>
    <row r="288" ht="14.25" customHeight="1">
      <c r="R288" s="22"/>
      <c r="S288" s="23"/>
      <c r="T288" s="22"/>
      <c r="U288" s="24"/>
      <c r="V288" s="25"/>
      <c r="W288" s="26"/>
      <c r="Y288" s="22"/>
    </row>
    <row r="289" ht="14.25" customHeight="1">
      <c r="R289" s="22"/>
      <c r="S289" s="23"/>
      <c r="T289" s="22"/>
      <c r="U289" s="24"/>
      <c r="V289" s="25"/>
      <c r="W289" s="26"/>
      <c r="Y289" s="22"/>
    </row>
    <row r="290" ht="14.25" customHeight="1">
      <c r="R290" s="22"/>
      <c r="S290" s="23"/>
      <c r="T290" s="22"/>
      <c r="U290" s="24"/>
      <c r="V290" s="25"/>
      <c r="W290" s="26"/>
      <c r="Y290" s="22"/>
    </row>
    <row r="291" ht="14.25" customHeight="1">
      <c r="R291" s="22"/>
      <c r="S291" s="23"/>
      <c r="T291" s="22"/>
      <c r="U291" s="24"/>
      <c r="V291" s="25"/>
      <c r="W291" s="26"/>
      <c r="Y291" s="22"/>
    </row>
    <row r="292" ht="14.25" customHeight="1">
      <c r="R292" s="22"/>
      <c r="S292" s="23"/>
      <c r="T292" s="22"/>
      <c r="U292" s="24"/>
      <c r="V292" s="25"/>
      <c r="W292" s="26"/>
      <c r="Y292" s="22"/>
    </row>
    <row r="293" ht="14.25" customHeight="1">
      <c r="R293" s="22"/>
      <c r="S293" s="23"/>
      <c r="T293" s="22"/>
      <c r="U293" s="24"/>
      <c r="V293" s="25"/>
      <c r="W293" s="26"/>
      <c r="Y293" s="22"/>
    </row>
    <row r="294" ht="14.25" customHeight="1">
      <c r="R294" s="22"/>
      <c r="S294" s="23"/>
      <c r="T294" s="22"/>
      <c r="U294" s="24"/>
      <c r="V294" s="25"/>
      <c r="W294" s="26"/>
      <c r="Y294" s="22"/>
    </row>
    <row r="295" ht="14.25" customHeight="1">
      <c r="R295" s="22"/>
      <c r="S295" s="23"/>
      <c r="T295" s="22"/>
      <c r="U295" s="24"/>
      <c r="V295" s="25"/>
      <c r="W295" s="26"/>
      <c r="Y295" s="22"/>
    </row>
    <row r="296" ht="14.25" customHeight="1">
      <c r="R296" s="22"/>
      <c r="S296" s="23"/>
      <c r="T296" s="22"/>
      <c r="U296" s="24"/>
      <c r="V296" s="25"/>
      <c r="W296" s="26"/>
      <c r="Y296" s="22"/>
    </row>
    <row r="297" ht="14.25" customHeight="1">
      <c r="R297" s="22"/>
      <c r="S297" s="23"/>
      <c r="T297" s="22"/>
      <c r="U297" s="24"/>
      <c r="V297" s="25"/>
      <c r="W297" s="26"/>
      <c r="Y297" s="22"/>
    </row>
    <row r="298" ht="14.25" customHeight="1">
      <c r="R298" s="22"/>
      <c r="S298" s="23"/>
      <c r="T298" s="22"/>
      <c r="U298" s="24"/>
      <c r="V298" s="25"/>
      <c r="W298" s="26"/>
      <c r="Y298" s="22"/>
    </row>
    <row r="299" ht="14.25" customHeight="1">
      <c r="R299" s="22"/>
      <c r="S299" s="23"/>
      <c r="T299" s="22"/>
      <c r="U299" s="24"/>
      <c r="V299" s="25"/>
      <c r="W299" s="26"/>
      <c r="Y299" s="22"/>
    </row>
    <row r="300" ht="14.25" customHeight="1">
      <c r="R300" s="22"/>
      <c r="S300" s="23"/>
      <c r="T300" s="22"/>
      <c r="U300" s="24"/>
      <c r="V300" s="25"/>
      <c r="W300" s="26"/>
      <c r="Y300" s="22"/>
    </row>
    <row r="301" ht="14.25" customHeight="1">
      <c r="R301" s="22"/>
      <c r="S301" s="23"/>
      <c r="T301" s="22"/>
      <c r="U301" s="24"/>
      <c r="V301" s="25"/>
      <c r="W301" s="26"/>
      <c r="Y301" s="22"/>
    </row>
    <row r="302" ht="14.25" customHeight="1">
      <c r="R302" s="22"/>
      <c r="S302" s="23"/>
      <c r="T302" s="22"/>
      <c r="U302" s="24"/>
      <c r="V302" s="25"/>
      <c r="W302" s="26"/>
      <c r="Y302" s="22"/>
    </row>
    <row r="303" ht="14.25" customHeight="1">
      <c r="R303" s="22"/>
      <c r="S303" s="23"/>
      <c r="T303" s="22"/>
      <c r="U303" s="24"/>
      <c r="V303" s="25"/>
      <c r="W303" s="26"/>
      <c r="Y303" s="22"/>
    </row>
    <row r="304" ht="14.25" customHeight="1">
      <c r="R304" s="22"/>
      <c r="S304" s="23"/>
      <c r="T304" s="22"/>
      <c r="U304" s="24"/>
      <c r="V304" s="25"/>
      <c r="W304" s="26"/>
      <c r="Y304" s="22"/>
    </row>
    <row r="305" ht="14.25" customHeight="1">
      <c r="R305" s="22"/>
      <c r="S305" s="23"/>
      <c r="T305" s="22"/>
      <c r="U305" s="24"/>
      <c r="V305" s="25"/>
      <c r="W305" s="26"/>
      <c r="Y305" s="22"/>
    </row>
    <row r="306" ht="14.25" customHeight="1">
      <c r="R306" s="22"/>
      <c r="S306" s="23"/>
      <c r="T306" s="22"/>
      <c r="U306" s="24"/>
      <c r="V306" s="25"/>
      <c r="W306" s="26"/>
      <c r="Y306" s="22"/>
    </row>
    <row r="307" ht="14.25" customHeight="1">
      <c r="R307" s="22"/>
      <c r="S307" s="23"/>
      <c r="T307" s="22"/>
      <c r="U307" s="24"/>
      <c r="V307" s="25"/>
      <c r="W307" s="26"/>
      <c r="Y307" s="22"/>
    </row>
    <row r="308" ht="14.25" customHeight="1">
      <c r="R308" s="22"/>
      <c r="S308" s="23"/>
      <c r="T308" s="22"/>
      <c r="U308" s="24"/>
      <c r="V308" s="25"/>
      <c r="W308" s="26"/>
      <c r="Y308" s="22"/>
    </row>
    <row r="309" ht="14.25" customHeight="1">
      <c r="R309" s="22"/>
      <c r="S309" s="23"/>
      <c r="T309" s="22"/>
      <c r="U309" s="24"/>
      <c r="V309" s="25"/>
      <c r="W309" s="26"/>
      <c r="Y309" s="22"/>
    </row>
    <row r="310" ht="14.25" customHeight="1">
      <c r="R310" s="22"/>
      <c r="S310" s="23"/>
      <c r="T310" s="22"/>
      <c r="U310" s="24"/>
      <c r="V310" s="25"/>
      <c r="W310" s="26"/>
      <c r="Y310" s="22"/>
    </row>
    <row r="311" ht="14.25" customHeight="1">
      <c r="R311" s="22"/>
      <c r="S311" s="23"/>
      <c r="T311" s="22"/>
      <c r="U311" s="24"/>
      <c r="V311" s="25"/>
      <c r="W311" s="26"/>
      <c r="Y311" s="22"/>
    </row>
    <row r="312" ht="14.25" customHeight="1">
      <c r="R312" s="22"/>
      <c r="S312" s="23"/>
      <c r="T312" s="22"/>
      <c r="U312" s="24"/>
      <c r="V312" s="25"/>
      <c r="W312" s="26"/>
      <c r="Y312" s="22"/>
    </row>
    <row r="313" ht="14.25" customHeight="1">
      <c r="R313" s="22"/>
      <c r="S313" s="23"/>
      <c r="T313" s="22"/>
      <c r="U313" s="24"/>
      <c r="V313" s="25"/>
      <c r="W313" s="26"/>
      <c r="Y313" s="22"/>
    </row>
    <row r="314" ht="14.25" customHeight="1">
      <c r="R314" s="22"/>
      <c r="S314" s="23"/>
      <c r="T314" s="22"/>
      <c r="U314" s="24"/>
      <c r="V314" s="25"/>
      <c r="W314" s="26"/>
      <c r="Y314" s="22"/>
    </row>
    <row r="315" ht="14.25" customHeight="1">
      <c r="R315" s="22"/>
      <c r="S315" s="23"/>
      <c r="T315" s="22"/>
      <c r="U315" s="24"/>
      <c r="V315" s="25"/>
      <c r="W315" s="26"/>
      <c r="Y315" s="22"/>
    </row>
    <row r="316" ht="14.25" customHeight="1">
      <c r="R316" s="22"/>
      <c r="S316" s="23"/>
      <c r="T316" s="22"/>
      <c r="U316" s="24"/>
      <c r="V316" s="25"/>
      <c r="W316" s="26"/>
      <c r="Y316" s="22"/>
    </row>
    <row r="317" ht="14.25" customHeight="1">
      <c r="R317" s="22"/>
      <c r="S317" s="23"/>
      <c r="T317" s="22"/>
      <c r="U317" s="24"/>
      <c r="V317" s="25"/>
      <c r="W317" s="26"/>
      <c r="Y317" s="22"/>
    </row>
    <row r="318" ht="14.25" customHeight="1">
      <c r="R318" s="22"/>
      <c r="S318" s="23"/>
      <c r="T318" s="22"/>
      <c r="U318" s="24"/>
      <c r="V318" s="25"/>
      <c r="W318" s="26"/>
      <c r="Y318" s="22"/>
    </row>
    <row r="319" ht="14.25" customHeight="1">
      <c r="R319" s="22"/>
      <c r="S319" s="23"/>
      <c r="T319" s="22"/>
      <c r="U319" s="24"/>
      <c r="V319" s="25"/>
      <c r="W319" s="26"/>
      <c r="Y319" s="22"/>
    </row>
    <row r="320" ht="14.25" customHeight="1">
      <c r="R320" s="22"/>
      <c r="S320" s="23"/>
      <c r="T320" s="22"/>
      <c r="U320" s="24"/>
      <c r="V320" s="25"/>
      <c r="W320" s="26"/>
      <c r="Y320" s="22"/>
    </row>
    <row r="321" ht="14.25" customHeight="1">
      <c r="R321" s="22"/>
      <c r="S321" s="23"/>
      <c r="T321" s="22"/>
      <c r="U321" s="24"/>
      <c r="V321" s="25"/>
      <c r="W321" s="26"/>
      <c r="Y321" s="22"/>
    </row>
    <row r="322" ht="14.25" customHeight="1">
      <c r="R322" s="22"/>
      <c r="S322" s="23"/>
      <c r="T322" s="22"/>
      <c r="U322" s="24"/>
      <c r="V322" s="25"/>
      <c r="W322" s="26"/>
      <c r="Y322" s="22"/>
    </row>
    <row r="323" ht="14.25" customHeight="1">
      <c r="R323" s="22"/>
      <c r="S323" s="23"/>
      <c r="T323" s="22"/>
      <c r="U323" s="24"/>
      <c r="V323" s="25"/>
      <c r="W323" s="26"/>
      <c r="Y323" s="22"/>
    </row>
    <row r="324" ht="14.25" customHeight="1">
      <c r="R324" s="22"/>
      <c r="S324" s="23"/>
      <c r="T324" s="22"/>
      <c r="U324" s="24"/>
      <c r="V324" s="25"/>
      <c r="W324" s="26"/>
      <c r="Y324" s="22"/>
    </row>
    <row r="325" ht="14.25" customHeight="1">
      <c r="R325" s="22"/>
      <c r="S325" s="23"/>
      <c r="T325" s="22"/>
      <c r="U325" s="24"/>
      <c r="V325" s="25"/>
      <c r="W325" s="26"/>
      <c r="Y325" s="22"/>
    </row>
    <row r="326" ht="14.25" customHeight="1">
      <c r="R326" s="22"/>
      <c r="S326" s="23"/>
      <c r="T326" s="22"/>
      <c r="U326" s="24"/>
      <c r="V326" s="25"/>
      <c r="W326" s="26"/>
      <c r="Y326" s="22"/>
    </row>
    <row r="327" ht="14.25" customHeight="1">
      <c r="R327" s="22"/>
      <c r="S327" s="23"/>
      <c r="T327" s="22"/>
      <c r="U327" s="24"/>
      <c r="V327" s="25"/>
      <c r="W327" s="26"/>
      <c r="Y327" s="22"/>
    </row>
    <row r="328" ht="14.25" customHeight="1">
      <c r="R328" s="22"/>
      <c r="S328" s="23"/>
      <c r="T328" s="22"/>
      <c r="U328" s="24"/>
      <c r="V328" s="25"/>
      <c r="W328" s="26"/>
      <c r="Y328" s="22"/>
    </row>
    <row r="329" ht="14.25" customHeight="1">
      <c r="R329" s="22"/>
      <c r="S329" s="23"/>
      <c r="T329" s="22"/>
      <c r="U329" s="24"/>
      <c r="V329" s="25"/>
      <c r="W329" s="26"/>
      <c r="Y329" s="22"/>
    </row>
    <row r="330" ht="14.25" customHeight="1">
      <c r="R330" s="22"/>
      <c r="S330" s="23"/>
      <c r="T330" s="22"/>
      <c r="U330" s="24"/>
      <c r="V330" s="25"/>
      <c r="W330" s="26"/>
      <c r="Y330" s="22"/>
    </row>
    <row r="331" ht="14.25" customHeight="1">
      <c r="R331" s="22"/>
      <c r="S331" s="23"/>
      <c r="T331" s="22"/>
      <c r="U331" s="24"/>
      <c r="V331" s="25"/>
      <c r="W331" s="26"/>
      <c r="Y331" s="22"/>
    </row>
    <row r="332" ht="14.25" customHeight="1">
      <c r="R332" s="22"/>
      <c r="S332" s="23"/>
      <c r="T332" s="22"/>
      <c r="U332" s="24"/>
      <c r="V332" s="25"/>
      <c r="W332" s="26"/>
      <c r="Y332" s="22"/>
    </row>
    <row r="333" ht="14.25" customHeight="1">
      <c r="R333" s="22"/>
      <c r="S333" s="23"/>
      <c r="T333" s="22"/>
      <c r="U333" s="24"/>
      <c r="V333" s="25"/>
      <c r="W333" s="26"/>
      <c r="Y333" s="22"/>
    </row>
    <row r="334" ht="14.25" customHeight="1">
      <c r="R334" s="22"/>
      <c r="S334" s="23"/>
      <c r="T334" s="22"/>
      <c r="U334" s="24"/>
      <c r="V334" s="25"/>
      <c r="W334" s="26"/>
      <c r="Y334" s="22"/>
    </row>
    <row r="335" ht="14.25" customHeight="1">
      <c r="R335" s="22"/>
      <c r="S335" s="23"/>
      <c r="T335" s="22"/>
      <c r="U335" s="24"/>
      <c r="V335" s="25"/>
      <c r="W335" s="26"/>
      <c r="Y335" s="22"/>
    </row>
    <row r="336" ht="14.25" customHeight="1">
      <c r="R336" s="22"/>
      <c r="S336" s="23"/>
      <c r="T336" s="22"/>
      <c r="U336" s="24"/>
      <c r="V336" s="25"/>
      <c r="W336" s="26"/>
      <c r="Y336" s="22"/>
    </row>
    <row r="337" ht="14.25" customHeight="1">
      <c r="R337" s="22"/>
      <c r="S337" s="23"/>
      <c r="T337" s="22"/>
      <c r="U337" s="24"/>
      <c r="V337" s="25"/>
      <c r="W337" s="26"/>
      <c r="Y337" s="22"/>
    </row>
    <row r="338" ht="14.25" customHeight="1">
      <c r="R338" s="22"/>
      <c r="S338" s="23"/>
      <c r="T338" s="22"/>
      <c r="U338" s="24"/>
      <c r="V338" s="25"/>
      <c r="W338" s="26"/>
      <c r="Y338" s="22"/>
    </row>
    <row r="339" ht="14.25" customHeight="1">
      <c r="R339" s="22"/>
      <c r="S339" s="23"/>
      <c r="T339" s="22"/>
      <c r="U339" s="24"/>
      <c r="V339" s="25"/>
      <c r="W339" s="26"/>
      <c r="Y339" s="22"/>
    </row>
    <row r="340" ht="14.25" customHeight="1">
      <c r="R340" s="22"/>
      <c r="S340" s="23"/>
      <c r="T340" s="22"/>
      <c r="U340" s="24"/>
      <c r="V340" s="25"/>
      <c r="W340" s="26"/>
      <c r="Y340" s="22"/>
    </row>
    <row r="341" ht="14.25" customHeight="1">
      <c r="R341" s="22"/>
      <c r="S341" s="23"/>
      <c r="T341" s="22"/>
      <c r="U341" s="24"/>
      <c r="V341" s="25"/>
      <c r="W341" s="26"/>
      <c r="Y341" s="22"/>
    </row>
    <row r="342" ht="14.25" customHeight="1">
      <c r="R342" s="22"/>
      <c r="S342" s="23"/>
      <c r="T342" s="22"/>
      <c r="U342" s="24"/>
      <c r="V342" s="25"/>
      <c r="W342" s="26"/>
      <c r="Y342" s="22"/>
    </row>
    <row r="343" ht="14.25" customHeight="1">
      <c r="R343" s="22"/>
      <c r="S343" s="23"/>
      <c r="T343" s="22"/>
      <c r="U343" s="24"/>
      <c r="V343" s="25"/>
      <c r="W343" s="26"/>
      <c r="Y343" s="22"/>
    </row>
    <row r="344" ht="14.25" customHeight="1">
      <c r="R344" s="22"/>
      <c r="S344" s="23"/>
      <c r="T344" s="22"/>
      <c r="U344" s="24"/>
      <c r="V344" s="25"/>
      <c r="W344" s="26"/>
      <c r="Y344" s="22"/>
    </row>
    <row r="345" ht="14.25" customHeight="1">
      <c r="R345" s="22"/>
      <c r="S345" s="23"/>
      <c r="T345" s="22"/>
      <c r="U345" s="24"/>
      <c r="V345" s="25"/>
      <c r="W345" s="26"/>
      <c r="Y345" s="22"/>
    </row>
    <row r="346" ht="14.25" customHeight="1">
      <c r="R346" s="22"/>
      <c r="S346" s="23"/>
      <c r="T346" s="22"/>
      <c r="U346" s="24"/>
      <c r="V346" s="25"/>
      <c r="W346" s="26"/>
      <c r="Y346" s="22"/>
    </row>
    <row r="347" ht="14.25" customHeight="1">
      <c r="R347" s="22"/>
      <c r="S347" s="23"/>
      <c r="T347" s="22"/>
      <c r="U347" s="24"/>
      <c r="V347" s="25"/>
      <c r="W347" s="26"/>
      <c r="Y347" s="22"/>
    </row>
    <row r="348" ht="14.25" customHeight="1">
      <c r="R348" s="22"/>
      <c r="S348" s="23"/>
      <c r="T348" s="22"/>
      <c r="U348" s="24"/>
      <c r="V348" s="25"/>
      <c r="W348" s="26"/>
      <c r="Y348" s="22"/>
    </row>
    <row r="349" ht="14.25" customHeight="1">
      <c r="R349" s="22"/>
      <c r="S349" s="23"/>
      <c r="T349" s="22"/>
      <c r="U349" s="24"/>
      <c r="V349" s="25"/>
      <c r="W349" s="26"/>
      <c r="Y349" s="22"/>
    </row>
    <row r="350" ht="14.25" customHeight="1">
      <c r="R350" s="22"/>
      <c r="S350" s="23"/>
      <c r="T350" s="22"/>
      <c r="U350" s="24"/>
      <c r="V350" s="25"/>
      <c r="W350" s="26"/>
      <c r="Y350" s="22"/>
    </row>
    <row r="351" ht="14.25" customHeight="1">
      <c r="R351" s="22"/>
      <c r="S351" s="23"/>
      <c r="T351" s="22"/>
      <c r="U351" s="24"/>
      <c r="V351" s="25"/>
      <c r="W351" s="26"/>
      <c r="Y351" s="22"/>
    </row>
    <row r="352" ht="14.25" customHeight="1">
      <c r="R352" s="22"/>
      <c r="S352" s="23"/>
      <c r="T352" s="22"/>
      <c r="U352" s="24"/>
      <c r="V352" s="25"/>
      <c r="W352" s="26"/>
      <c r="Y352" s="22"/>
    </row>
    <row r="353" ht="14.25" customHeight="1">
      <c r="R353" s="22"/>
      <c r="S353" s="23"/>
      <c r="T353" s="22"/>
      <c r="U353" s="24"/>
      <c r="V353" s="25"/>
      <c r="W353" s="26"/>
      <c r="Y353" s="22"/>
    </row>
    <row r="354" ht="14.25" customHeight="1">
      <c r="R354" s="22"/>
      <c r="S354" s="23"/>
      <c r="T354" s="22"/>
      <c r="U354" s="24"/>
      <c r="V354" s="25"/>
      <c r="W354" s="26"/>
      <c r="Y354" s="22"/>
    </row>
    <row r="355" ht="14.25" customHeight="1">
      <c r="R355" s="22"/>
      <c r="S355" s="23"/>
      <c r="T355" s="22"/>
      <c r="U355" s="24"/>
      <c r="V355" s="25"/>
      <c r="W355" s="26"/>
      <c r="Y355" s="22"/>
    </row>
    <row r="356" ht="14.25" customHeight="1">
      <c r="R356" s="22"/>
      <c r="S356" s="23"/>
      <c r="T356" s="22"/>
      <c r="U356" s="24"/>
      <c r="V356" s="25"/>
      <c r="W356" s="26"/>
      <c r="Y356" s="22"/>
    </row>
    <row r="357" ht="14.25" customHeight="1">
      <c r="R357" s="22"/>
      <c r="S357" s="23"/>
      <c r="T357" s="22"/>
      <c r="U357" s="24"/>
      <c r="V357" s="25"/>
      <c r="W357" s="26"/>
      <c r="Y357" s="22"/>
    </row>
    <row r="358" ht="14.25" customHeight="1">
      <c r="R358" s="22"/>
      <c r="S358" s="23"/>
      <c r="T358" s="22"/>
      <c r="U358" s="24"/>
      <c r="V358" s="25"/>
      <c r="W358" s="26"/>
      <c r="Y358" s="22"/>
    </row>
    <row r="359" ht="14.25" customHeight="1">
      <c r="R359" s="22"/>
      <c r="S359" s="23"/>
      <c r="T359" s="22"/>
      <c r="U359" s="24"/>
      <c r="V359" s="25"/>
      <c r="W359" s="26"/>
      <c r="Y359" s="22"/>
    </row>
    <row r="360" ht="14.25" customHeight="1">
      <c r="R360" s="22"/>
      <c r="S360" s="23"/>
      <c r="T360" s="22"/>
      <c r="U360" s="24"/>
      <c r="V360" s="25"/>
      <c r="W360" s="26"/>
      <c r="Y360" s="22"/>
    </row>
    <row r="361" ht="14.25" customHeight="1">
      <c r="R361" s="22"/>
      <c r="S361" s="23"/>
      <c r="T361" s="22"/>
      <c r="U361" s="24"/>
      <c r="V361" s="25"/>
      <c r="W361" s="26"/>
      <c r="Y361" s="22"/>
    </row>
    <row r="362" ht="14.25" customHeight="1">
      <c r="R362" s="22"/>
      <c r="S362" s="23"/>
      <c r="T362" s="22"/>
      <c r="U362" s="24"/>
      <c r="V362" s="25"/>
      <c r="W362" s="26"/>
      <c r="Y362" s="22"/>
    </row>
    <row r="363" ht="14.25" customHeight="1">
      <c r="R363" s="22"/>
      <c r="S363" s="23"/>
      <c r="T363" s="22"/>
      <c r="U363" s="24"/>
      <c r="V363" s="25"/>
      <c r="W363" s="26"/>
      <c r="Y363" s="22"/>
    </row>
    <row r="364" ht="14.25" customHeight="1">
      <c r="R364" s="22"/>
      <c r="S364" s="23"/>
      <c r="T364" s="22"/>
      <c r="U364" s="24"/>
      <c r="V364" s="25"/>
      <c r="W364" s="26"/>
      <c r="Y364" s="22"/>
    </row>
    <row r="365" ht="14.25" customHeight="1">
      <c r="R365" s="22"/>
      <c r="S365" s="23"/>
      <c r="T365" s="22"/>
      <c r="U365" s="24"/>
      <c r="V365" s="25"/>
      <c r="W365" s="26"/>
      <c r="Y365" s="22"/>
    </row>
    <row r="366" ht="14.25" customHeight="1">
      <c r="R366" s="22"/>
      <c r="S366" s="23"/>
      <c r="T366" s="22"/>
      <c r="U366" s="24"/>
      <c r="V366" s="25"/>
      <c r="W366" s="26"/>
      <c r="Y366" s="22"/>
    </row>
    <row r="367" ht="14.25" customHeight="1">
      <c r="R367" s="22"/>
      <c r="S367" s="23"/>
      <c r="T367" s="22"/>
      <c r="U367" s="24"/>
      <c r="V367" s="25"/>
      <c r="W367" s="26"/>
      <c r="Y367" s="22"/>
    </row>
    <row r="368" ht="14.25" customHeight="1">
      <c r="R368" s="22"/>
      <c r="S368" s="23"/>
      <c r="T368" s="22"/>
      <c r="U368" s="24"/>
      <c r="V368" s="25"/>
      <c r="W368" s="26"/>
      <c r="Y368" s="22"/>
    </row>
    <row r="369" ht="14.25" customHeight="1">
      <c r="R369" s="22"/>
      <c r="S369" s="23"/>
      <c r="T369" s="22"/>
      <c r="U369" s="24"/>
      <c r="V369" s="25"/>
      <c r="W369" s="26"/>
      <c r="Y369" s="22"/>
    </row>
    <row r="370" ht="14.25" customHeight="1">
      <c r="R370" s="22"/>
      <c r="S370" s="23"/>
      <c r="T370" s="22"/>
      <c r="U370" s="24"/>
      <c r="V370" s="25"/>
      <c r="W370" s="26"/>
      <c r="Y370" s="22"/>
    </row>
    <row r="371" ht="14.25" customHeight="1">
      <c r="R371" s="22"/>
      <c r="S371" s="23"/>
      <c r="T371" s="22"/>
      <c r="U371" s="24"/>
      <c r="V371" s="25"/>
      <c r="W371" s="26"/>
      <c r="Y371" s="22"/>
    </row>
    <row r="372" ht="14.25" customHeight="1">
      <c r="R372" s="22"/>
      <c r="S372" s="23"/>
      <c r="T372" s="22"/>
      <c r="U372" s="24"/>
      <c r="V372" s="25"/>
      <c r="W372" s="26"/>
      <c r="Y372" s="22"/>
    </row>
    <row r="373" ht="14.25" customHeight="1">
      <c r="R373" s="22"/>
      <c r="S373" s="23"/>
      <c r="T373" s="22"/>
      <c r="U373" s="24"/>
      <c r="V373" s="25"/>
      <c r="W373" s="26"/>
      <c r="Y373" s="22"/>
    </row>
    <row r="374" ht="14.25" customHeight="1">
      <c r="R374" s="22"/>
      <c r="S374" s="23"/>
      <c r="T374" s="22"/>
      <c r="U374" s="24"/>
      <c r="V374" s="25"/>
      <c r="W374" s="26"/>
      <c r="Y374" s="22"/>
    </row>
    <row r="375" ht="14.25" customHeight="1">
      <c r="R375" s="22"/>
      <c r="S375" s="23"/>
      <c r="T375" s="22"/>
      <c r="U375" s="24"/>
      <c r="V375" s="25"/>
      <c r="W375" s="26"/>
      <c r="Y375" s="22"/>
    </row>
    <row r="376" ht="14.25" customHeight="1">
      <c r="R376" s="22"/>
      <c r="S376" s="23"/>
      <c r="T376" s="22"/>
      <c r="U376" s="24"/>
      <c r="V376" s="25"/>
      <c r="W376" s="26"/>
      <c r="Y376" s="22"/>
    </row>
    <row r="377" ht="14.25" customHeight="1">
      <c r="R377" s="22"/>
      <c r="S377" s="23"/>
      <c r="T377" s="22"/>
      <c r="U377" s="24"/>
      <c r="V377" s="25"/>
      <c r="W377" s="26"/>
      <c r="Y377" s="22"/>
    </row>
    <row r="378" ht="14.25" customHeight="1">
      <c r="R378" s="22"/>
      <c r="S378" s="23"/>
      <c r="T378" s="22"/>
      <c r="U378" s="24"/>
      <c r="V378" s="25"/>
      <c r="W378" s="26"/>
      <c r="Y378" s="22"/>
    </row>
    <row r="379" ht="14.25" customHeight="1">
      <c r="R379" s="22"/>
      <c r="S379" s="23"/>
      <c r="T379" s="22"/>
      <c r="U379" s="24"/>
      <c r="V379" s="25"/>
      <c r="W379" s="26"/>
      <c r="Y379" s="22"/>
    </row>
    <row r="380" ht="14.25" customHeight="1">
      <c r="R380" s="22"/>
      <c r="S380" s="23"/>
      <c r="T380" s="22"/>
      <c r="U380" s="24"/>
      <c r="V380" s="25"/>
      <c r="W380" s="26"/>
      <c r="Y380" s="22"/>
    </row>
    <row r="381" ht="14.25" customHeight="1">
      <c r="R381" s="22"/>
      <c r="S381" s="23"/>
      <c r="T381" s="22"/>
      <c r="U381" s="24"/>
      <c r="V381" s="25"/>
      <c r="W381" s="26"/>
      <c r="Y381" s="22"/>
    </row>
    <row r="382" ht="14.25" customHeight="1">
      <c r="R382" s="22"/>
      <c r="S382" s="23"/>
      <c r="T382" s="22"/>
      <c r="U382" s="24"/>
      <c r="V382" s="25"/>
      <c r="W382" s="26"/>
      <c r="Y382" s="22"/>
    </row>
    <row r="383" ht="14.25" customHeight="1">
      <c r="R383" s="22"/>
      <c r="S383" s="23"/>
      <c r="T383" s="22"/>
      <c r="U383" s="24"/>
      <c r="V383" s="25"/>
      <c r="W383" s="26"/>
      <c r="Y383" s="22"/>
    </row>
    <row r="384" ht="14.25" customHeight="1">
      <c r="R384" s="22"/>
      <c r="S384" s="23"/>
      <c r="T384" s="22"/>
      <c r="U384" s="24"/>
      <c r="V384" s="25"/>
      <c r="W384" s="26"/>
      <c r="Y384" s="22"/>
    </row>
    <row r="385" ht="14.25" customHeight="1">
      <c r="R385" s="22"/>
      <c r="S385" s="23"/>
      <c r="T385" s="22"/>
      <c r="U385" s="24"/>
      <c r="V385" s="25"/>
      <c r="W385" s="26"/>
      <c r="Y385" s="22"/>
    </row>
    <row r="386" ht="14.25" customHeight="1">
      <c r="R386" s="22"/>
      <c r="S386" s="23"/>
      <c r="T386" s="22"/>
      <c r="U386" s="24"/>
      <c r="V386" s="25"/>
      <c r="W386" s="26"/>
      <c r="Y386" s="22"/>
    </row>
    <row r="387" ht="14.25" customHeight="1">
      <c r="R387" s="22"/>
      <c r="S387" s="23"/>
      <c r="T387" s="22"/>
      <c r="U387" s="24"/>
      <c r="V387" s="25"/>
      <c r="W387" s="26"/>
      <c r="Y387" s="22"/>
    </row>
    <row r="388" ht="14.25" customHeight="1">
      <c r="R388" s="22"/>
      <c r="S388" s="23"/>
      <c r="T388" s="22"/>
      <c r="U388" s="24"/>
      <c r="V388" s="25"/>
      <c r="W388" s="26"/>
      <c r="Y388" s="22"/>
    </row>
    <row r="389" ht="14.25" customHeight="1">
      <c r="R389" s="22"/>
      <c r="S389" s="23"/>
      <c r="T389" s="22"/>
      <c r="U389" s="24"/>
      <c r="V389" s="25"/>
      <c r="W389" s="26"/>
      <c r="Y389" s="22"/>
    </row>
    <row r="390" ht="14.25" customHeight="1">
      <c r="R390" s="22"/>
      <c r="S390" s="23"/>
      <c r="T390" s="22"/>
      <c r="U390" s="24"/>
      <c r="V390" s="25"/>
      <c r="W390" s="26"/>
      <c r="Y390" s="22"/>
    </row>
    <row r="391" ht="14.25" customHeight="1">
      <c r="R391" s="22"/>
      <c r="S391" s="23"/>
      <c r="T391" s="22"/>
      <c r="U391" s="24"/>
      <c r="V391" s="25"/>
      <c r="W391" s="26"/>
      <c r="Y391" s="22"/>
    </row>
    <row r="392" ht="14.25" customHeight="1">
      <c r="R392" s="22"/>
      <c r="S392" s="23"/>
      <c r="T392" s="22"/>
      <c r="U392" s="24"/>
      <c r="V392" s="25"/>
      <c r="W392" s="26"/>
      <c r="Y392" s="22"/>
    </row>
    <row r="393" ht="14.25" customHeight="1">
      <c r="R393" s="22"/>
      <c r="S393" s="23"/>
      <c r="T393" s="22"/>
      <c r="U393" s="24"/>
      <c r="V393" s="25"/>
      <c r="W393" s="26"/>
      <c r="Y393" s="22"/>
    </row>
    <row r="394" ht="14.25" customHeight="1">
      <c r="R394" s="22"/>
      <c r="S394" s="23"/>
      <c r="T394" s="22"/>
      <c r="U394" s="24"/>
      <c r="V394" s="25"/>
      <c r="W394" s="26"/>
      <c r="Y394" s="22"/>
    </row>
    <row r="395" ht="14.25" customHeight="1">
      <c r="R395" s="22"/>
      <c r="S395" s="23"/>
      <c r="T395" s="22"/>
      <c r="U395" s="24"/>
      <c r="V395" s="25"/>
      <c r="W395" s="26"/>
      <c r="Y395" s="22"/>
    </row>
    <row r="396" ht="14.25" customHeight="1">
      <c r="R396" s="22"/>
      <c r="S396" s="23"/>
      <c r="T396" s="22"/>
      <c r="U396" s="24"/>
      <c r="V396" s="25"/>
      <c r="W396" s="26"/>
      <c r="Y396" s="22"/>
    </row>
    <row r="397" ht="14.25" customHeight="1">
      <c r="R397" s="22"/>
      <c r="S397" s="23"/>
      <c r="T397" s="22"/>
      <c r="U397" s="24"/>
      <c r="V397" s="25"/>
      <c r="W397" s="26"/>
      <c r="Y397" s="22"/>
    </row>
    <row r="398" ht="14.25" customHeight="1">
      <c r="R398" s="22"/>
      <c r="S398" s="23"/>
      <c r="T398" s="22"/>
      <c r="U398" s="24"/>
      <c r="V398" s="25"/>
      <c r="W398" s="26"/>
      <c r="Y398" s="22"/>
    </row>
    <row r="399" ht="14.25" customHeight="1">
      <c r="R399" s="22"/>
      <c r="S399" s="23"/>
      <c r="T399" s="22"/>
      <c r="U399" s="24"/>
      <c r="V399" s="25"/>
      <c r="W399" s="26"/>
      <c r="Y399" s="22"/>
    </row>
    <row r="400" ht="14.25" customHeight="1">
      <c r="R400" s="22"/>
      <c r="S400" s="23"/>
      <c r="T400" s="22"/>
      <c r="U400" s="24"/>
      <c r="V400" s="25"/>
      <c r="W400" s="26"/>
      <c r="Y400" s="22"/>
    </row>
    <row r="401" ht="14.25" customHeight="1">
      <c r="R401" s="22"/>
      <c r="S401" s="23"/>
      <c r="T401" s="22"/>
      <c r="U401" s="24"/>
      <c r="V401" s="25"/>
      <c r="W401" s="26"/>
      <c r="Y401" s="22"/>
    </row>
    <row r="402" ht="14.25" customHeight="1">
      <c r="R402" s="22"/>
      <c r="S402" s="23"/>
      <c r="T402" s="22"/>
      <c r="U402" s="24"/>
      <c r="V402" s="25"/>
      <c r="W402" s="26"/>
      <c r="Y402" s="22"/>
    </row>
    <row r="403" ht="14.25" customHeight="1">
      <c r="R403" s="22"/>
      <c r="S403" s="23"/>
      <c r="T403" s="22"/>
      <c r="U403" s="24"/>
      <c r="V403" s="25"/>
      <c r="W403" s="26"/>
      <c r="Y403" s="22"/>
    </row>
    <row r="404" ht="14.25" customHeight="1">
      <c r="R404" s="22"/>
      <c r="S404" s="23"/>
      <c r="T404" s="22"/>
      <c r="U404" s="24"/>
      <c r="V404" s="25"/>
      <c r="W404" s="26"/>
      <c r="Y404" s="22"/>
    </row>
    <row r="405" ht="14.25" customHeight="1">
      <c r="R405" s="22"/>
      <c r="S405" s="23"/>
      <c r="T405" s="22"/>
      <c r="U405" s="24"/>
      <c r="V405" s="25"/>
      <c r="W405" s="26"/>
      <c r="Y405" s="22"/>
    </row>
    <row r="406" ht="14.25" customHeight="1">
      <c r="R406" s="22"/>
      <c r="S406" s="23"/>
      <c r="T406" s="22"/>
      <c r="U406" s="24"/>
      <c r="V406" s="25"/>
      <c r="W406" s="26"/>
      <c r="Y406" s="22"/>
    </row>
    <row r="407" ht="14.25" customHeight="1">
      <c r="R407" s="22"/>
      <c r="S407" s="23"/>
      <c r="T407" s="22"/>
      <c r="U407" s="24"/>
      <c r="V407" s="25"/>
      <c r="W407" s="26"/>
      <c r="Y407" s="22"/>
    </row>
    <row r="408" ht="14.25" customHeight="1">
      <c r="R408" s="22"/>
      <c r="S408" s="23"/>
      <c r="T408" s="22"/>
      <c r="U408" s="24"/>
      <c r="V408" s="25"/>
      <c r="W408" s="26"/>
      <c r="Y408" s="22"/>
    </row>
    <row r="409" ht="14.25" customHeight="1">
      <c r="R409" s="22"/>
      <c r="S409" s="23"/>
      <c r="T409" s="22"/>
      <c r="U409" s="24"/>
      <c r="V409" s="25"/>
      <c r="W409" s="26"/>
      <c r="Y409" s="22"/>
    </row>
    <row r="410" ht="14.25" customHeight="1">
      <c r="R410" s="22"/>
      <c r="S410" s="23"/>
      <c r="T410" s="22"/>
      <c r="U410" s="24"/>
      <c r="V410" s="25"/>
      <c r="W410" s="26"/>
      <c r="Y410" s="22"/>
    </row>
    <row r="411" ht="14.25" customHeight="1">
      <c r="R411" s="22"/>
      <c r="S411" s="23"/>
      <c r="T411" s="22"/>
      <c r="U411" s="24"/>
      <c r="V411" s="25"/>
      <c r="W411" s="26"/>
      <c r="Y411" s="22"/>
    </row>
    <row r="412" ht="14.25" customHeight="1">
      <c r="R412" s="22"/>
      <c r="S412" s="23"/>
      <c r="T412" s="22"/>
      <c r="U412" s="24"/>
      <c r="V412" s="25"/>
      <c r="W412" s="26"/>
      <c r="Y412" s="22"/>
    </row>
    <row r="413" ht="14.25" customHeight="1">
      <c r="R413" s="22"/>
      <c r="S413" s="23"/>
      <c r="T413" s="22"/>
      <c r="U413" s="24"/>
      <c r="V413" s="25"/>
      <c r="W413" s="26"/>
      <c r="Y413" s="22"/>
    </row>
    <row r="414" ht="14.25" customHeight="1">
      <c r="R414" s="22"/>
      <c r="S414" s="23"/>
      <c r="T414" s="22"/>
      <c r="U414" s="24"/>
      <c r="V414" s="25"/>
      <c r="W414" s="26"/>
      <c r="Y414" s="22"/>
    </row>
    <row r="415" ht="14.25" customHeight="1">
      <c r="R415" s="22"/>
      <c r="S415" s="23"/>
      <c r="T415" s="22"/>
      <c r="U415" s="24"/>
      <c r="V415" s="25"/>
      <c r="W415" s="26"/>
      <c r="Y415" s="22"/>
    </row>
    <row r="416" ht="14.25" customHeight="1">
      <c r="R416" s="22"/>
      <c r="S416" s="23"/>
      <c r="T416" s="22"/>
      <c r="U416" s="24"/>
      <c r="V416" s="25"/>
      <c r="W416" s="26"/>
      <c r="Y416" s="22"/>
    </row>
    <row r="417" ht="14.25" customHeight="1">
      <c r="R417" s="22"/>
      <c r="S417" s="23"/>
      <c r="T417" s="22"/>
      <c r="U417" s="24"/>
      <c r="V417" s="25"/>
      <c r="W417" s="26"/>
      <c r="Y417" s="22"/>
    </row>
    <row r="418" ht="14.25" customHeight="1">
      <c r="R418" s="22"/>
      <c r="S418" s="23"/>
      <c r="T418" s="22"/>
      <c r="U418" s="24"/>
      <c r="V418" s="25"/>
      <c r="W418" s="26"/>
      <c r="Y418" s="22"/>
    </row>
    <row r="419" ht="14.25" customHeight="1">
      <c r="R419" s="22"/>
      <c r="S419" s="23"/>
      <c r="T419" s="22"/>
      <c r="U419" s="24"/>
      <c r="V419" s="25"/>
      <c r="W419" s="26"/>
      <c r="Y419" s="22"/>
    </row>
    <row r="420" ht="14.25" customHeight="1">
      <c r="R420" s="22"/>
      <c r="S420" s="23"/>
      <c r="T420" s="22"/>
      <c r="U420" s="24"/>
      <c r="V420" s="25"/>
      <c r="W420" s="26"/>
      <c r="Y420" s="22"/>
    </row>
    <row r="421" ht="14.25" customHeight="1">
      <c r="R421" s="22"/>
      <c r="S421" s="23"/>
      <c r="T421" s="22"/>
      <c r="U421" s="24"/>
      <c r="V421" s="25"/>
      <c r="W421" s="26"/>
      <c r="Y421" s="22"/>
    </row>
    <row r="422" ht="14.25" customHeight="1">
      <c r="R422" s="22"/>
      <c r="S422" s="23"/>
      <c r="T422" s="22"/>
      <c r="U422" s="24"/>
      <c r="V422" s="25"/>
      <c r="W422" s="26"/>
      <c r="Y422" s="22"/>
    </row>
    <row r="423" ht="14.25" customHeight="1">
      <c r="R423" s="22"/>
      <c r="S423" s="23"/>
      <c r="T423" s="22"/>
      <c r="U423" s="24"/>
      <c r="V423" s="25"/>
      <c r="W423" s="26"/>
      <c r="Y423" s="22"/>
    </row>
    <row r="424" ht="14.25" customHeight="1">
      <c r="R424" s="22"/>
      <c r="S424" s="23"/>
      <c r="T424" s="22"/>
      <c r="U424" s="24"/>
      <c r="V424" s="25"/>
      <c r="W424" s="26"/>
      <c r="Y424" s="22"/>
    </row>
    <row r="425" ht="14.25" customHeight="1">
      <c r="R425" s="22"/>
      <c r="S425" s="23"/>
      <c r="T425" s="22"/>
      <c r="U425" s="24"/>
      <c r="V425" s="25"/>
      <c r="W425" s="26"/>
      <c r="Y425" s="22"/>
    </row>
    <row r="426" ht="14.25" customHeight="1">
      <c r="R426" s="22"/>
      <c r="S426" s="23"/>
      <c r="T426" s="22"/>
      <c r="U426" s="24"/>
      <c r="V426" s="25"/>
      <c r="W426" s="26"/>
      <c r="Y426" s="22"/>
    </row>
    <row r="427" ht="14.25" customHeight="1">
      <c r="R427" s="22"/>
      <c r="S427" s="23"/>
      <c r="T427" s="22"/>
      <c r="U427" s="24"/>
      <c r="V427" s="25"/>
      <c r="W427" s="26"/>
      <c r="Y427" s="22"/>
    </row>
    <row r="428" ht="14.25" customHeight="1">
      <c r="R428" s="22"/>
      <c r="S428" s="23"/>
      <c r="T428" s="22"/>
      <c r="U428" s="24"/>
      <c r="V428" s="25"/>
      <c r="W428" s="26"/>
      <c r="Y428" s="22"/>
    </row>
    <row r="429" ht="14.25" customHeight="1">
      <c r="R429" s="22"/>
      <c r="S429" s="23"/>
      <c r="T429" s="22"/>
      <c r="U429" s="24"/>
      <c r="V429" s="25"/>
      <c r="W429" s="26"/>
      <c r="Y429" s="22"/>
    </row>
    <row r="430" ht="14.25" customHeight="1">
      <c r="R430" s="22"/>
      <c r="S430" s="23"/>
      <c r="T430" s="22"/>
      <c r="U430" s="24"/>
      <c r="V430" s="25"/>
      <c r="W430" s="26"/>
      <c r="Y430" s="22"/>
    </row>
    <row r="431" ht="14.25" customHeight="1">
      <c r="R431" s="22"/>
      <c r="S431" s="23"/>
      <c r="T431" s="22"/>
      <c r="U431" s="24"/>
      <c r="V431" s="25"/>
      <c r="W431" s="26"/>
      <c r="Y431" s="22"/>
    </row>
    <row r="432" ht="14.25" customHeight="1">
      <c r="R432" s="22"/>
      <c r="S432" s="23"/>
      <c r="T432" s="22"/>
      <c r="U432" s="24"/>
      <c r="V432" s="25"/>
      <c r="W432" s="26"/>
      <c r="Y432" s="22"/>
    </row>
    <row r="433" ht="14.25" customHeight="1">
      <c r="R433" s="22"/>
      <c r="S433" s="23"/>
      <c r="T433" s="22"/>
      <c r="U433" s="24"/>
      <c r="V433" s="25"/>
      <c r="W433" s="26"/>
      <c r="Y433" s="22"/>
    </row>
    <row r="434" ht="14.25" customHeight="1">
      <c r="R434" s="22"/>
      <c r="S434" s="23"/>
      <c r="T434" s="22"/>
      <c r="U434" s="24"/>
      <c r="V434" s="25"/>
      <c r="W434" s="26"/>
      <c r="Y434" s="22"/>
    </row>
    <row r="435" ht="14.25" customHeight="1">
      <c r="R435" s="22"/>
      <c r="S435" s="23"/>
      <c r="T435" s="22"/>
      <c r="U435" s="24"/>
      <c r="V435" s="25"/>
      <c r="W435" s="26"/>
      <c r="Y435" s="22"/>
    </row>
    <row r="436" ht="14.25" customHeight="1">
      <c r="R436" s="22"/>
      <c r="S436" s="23"/>
      <c r="T436" s="22"/>
      <c r="U436" s="24"/>
      <c r="V436" s="25"/>
      <c r="W436" s="26"/>
      <c r="Y436" s="22"/>
    </row>
    <row r="437" ht="14.25" customHeight="1">
      <c r="R437" s="22"/>
      <c r="S437" s="23"/>
      <c r="T437" s="22"/>
      <c r="U437" s="24"/>
      <c r="V437" s="25"/>
      <c r="W437" s="26"/>
      <c r="Y437" s="22"/>
    </row>
    <row r="438" ht="14.25" customHeight="1">
      <c r="R438" s="22"/>
      <c r="S438" s="23"/>
      <c r="T438" s="22"/>
      <c r="U438" s="24"/>
      <c r="V438" s="25"/>
      <c r="W438" s="26"/>
      <c r="Y438" s="22"/>
    </row>
    <row r="439" ht="14.25" customHeight="1">
      <c r="R439" s="22"/>
      <c r="S439" s="23"/>
      <c r="T439" s="22"/>
      <c r="U439" s="24"/>
      <c r="V439" s="25"/>
      <c r="W439" s="26"/>
      <c r="Y439" s="22"/>
    </row>
    <row r="440" ht="14.25" customHeight="1">
      <c r="R440" s="22"/>
      <c r="S440" s="23"/>
      <c r="T440" s="22"/>
      <c r="U440" s="24"/>
      <c r="V440" s="25"/>
      <c r="W440" s="26"/>
      <c r="Y440" s="22"/>
    </row>
    <row r="441" ht="14.25" customHeight="1">
      <c r="R441" s="22"/>
      <c r="S441" s="23"/>
      <c r="T441" s="22"/>
      <c r="U441" s="24"/>
      <c r="V441" s="25"/>
      <c r="W441" s="26"/>
      <c r="Y441" s="22"/>
    </row>
    <row r="442" ht="14.25" customHeight="1">
      <c r="R442" s="22"/>
      <c r="S442" s="23"/>
      <c r="T442" s="22"/>
      <c r="U442" s="24"/>
      <c r="V442" s="25"/>
      <c r="W442" s="26"/>
      <c r="Y442" s="22"/>
    </row>
    <row r="443" ht="14.25" customHeight="1">
      <c r="R443" s="22"/>
      <c r="S443" s="23"/>
      <c r="T443" s="22"/>
      <c r="U443" s="24"/>
      <c r="V443" s="25"/>
      <c r="W443" s="26"/>
      <c r="Y443" s="22"/>
    </row>
    <row r="444" ht="14.25" customHeight="1">
      <c r="R444" s="22"/>
      <c r="S444" s="23"/>
      <c r="T444" s="22"/>
      <c r="U444" s="24"/>
      <c r="V444" s="25"/>
      <c r="W444" s="26"/>
      <c r="Y444" s="22"/>
    </row>
    <row r="445" ht="14.25" customHeight="1">
      <c r="R445" s="22"/>
      <c r="S445" s="23"/>
      <c r="T445" s="22"/>
      <c r="U445" s="24"/>
      <c r="V445" s="25"/>
      <c r="W445" s="26"/>
      <c r="Y445" s="22"/>
    </row>
    <row r="446" ht="14.25" customHeight="1">
      <c r="R446" s="22"/>
      <c r="S446" s="23"/>
      <c r="T446" s="22"/>
      <c r="U446" s="24"/>
      <c r="V446" s="25"/>
      <c r="W446" s="26"/>
      <c r="Y446" s="22"/>
    </row>
    <row r="447" ht="14.25" customHeight="1">
      <c r="R447" s="22"/>
      <c r="S447" s="23"/>
      <c r="T447" s="22"/>
      <c r="U447" s="24"/>
      <c r="V447" s="25"/>
      <c r="W447" s="26"/>
      <c r="Y447" s="22"/>
    </row>
    <row r="448" ht="14.25" customHeight="1">
      <c r="R448" s="22"/>
      <c r="S448" s="23"/>
      <c r="T448" s="22"/>
      <c r="U448" s="24"/>
      <c r="V448" s="25"/>
      <c r="W448" s="26"/>
      <c r="Y448" s="22"/>
    </row>
    <row r="449" ht="14.25" customHeight="1">
      <c r="R449" s="22"/>
      <c r="S449" s="23"/>
      <c r="T449" s="22"/>
      <c r="U449" s="24"/>
      <c r="V449" s="25"/>
      <c r="W449" s="26"/>
      <c r="Y449" s="22"/>
    </row>
    <row r="450" ht="14.25" customHeight="1">
      <c r="R450" s="22"/>
      <c r="S450" s="23"/>
      <c r="T450" s="22"/>
      <c r="U450" s="24"/>
      <c r="V450" s="25"/>
      <c r="W450" s="26"/>
      <c r="Y450" s="22"/>
    </row>
    <row r="451" ht="14.25" customHeight="1">
      <c r="R451" s="22"/>
      <c r="S451" s="23"/>
      <c r="T451" s="22"/>
      <c r="U451" s="24"/>
      <c r="V451" s="25"/>
      <c r="W451" s="26"/>
      <c r="Y451" s="22"/>
    </row>
    <row r="452" ht="14.25" customHeight="1">
      <c r="R452" s="22"/>
      <c r="S452" s="23"/>
      <c r="T452" s="22"/>
      <c r="U452" s="24"/>
      <c r="V452" s="25"/>
      <c r="W452" s="26"/>
      <c r="Y452" s="22"/>
    </row>
    <row r="453" ht="14.25" customHeight="1">
      <c r="R453" s="22"/>
      <c r="S453" s="23"/>
      <c r="T453" s="22"/>
      <c r="U453" s="24"/>
      <c r="V453" s="25"/>
      <c r="W453" s="26"/>
      <c r="Y453" s="22"/>
    </row>
    <row r="454" ht="14.25" customHeight="1">
      <c r="R454" s="22"/>
      <c r="S454" s="23"/>
      <c r="T454" s="22"/>
      <c r="U454" s="24"/>
      <c r="V454" s="25"/>
      <c r="W454" s="26"/>
      <c r="Y454" s="22"/>
    </row>
    <row r="455" ht="14.25" customHeight="1">
      <c r="R455" s="22"/>
      <c r="S455" s="23"/>
      <c r="T455" s="22"/>
      <c r="U455" s="24"/>
      <c r="V455" s="25"/>
      <c r="W455" s="26"/>
      <c r="Y455" s="22"/>
    </row>
    <row r="456" ht="14.25" customHeight="1">
      <c r="R456" s="22"/>
      <c r="S456" s="23"/>
      <c r="T456" s="22"/>
      <c r="U456" s="24"/>
      <c r="V456" s="25"/>
      <c r="W456" s="26"/>
      <c r="Y456" s="22"/>
    </row>
    <row r="457" ht="14.25" customHeight="1">
      <c r="R457" s="22"/>
      <c r="S457" s="23"/>
      <c r="T457" s="22"/>
      <c r="U457" s="24"/>
      <c r="V457" s="25"/>
      <c r="W457" s="26"/>
      <c r="Y457" s="22"/>
    </row>
    <row r="458" ht="14.25" customHeight="1">
      <c r="R458" s="22"/>
      <c r="S458" s="23"/>
      <c r="T458" s="22"/>
      <c r="U458" s="24"/>
      <c r="V458" s="25"/>
      <c r="W458" s="26"/>
      <c r="Y458" s="22"/>
    </row>
    <row r="459" ht="14.25" customHeight="1">
      <c r="R459" s="22"/>
      <c r="S459" s="23"/>
      <c r="T459" s="22"/>
      <c r="U459" s="24"/>
      <c r="V459" s="25"/>
      <c r="W459" s="26"/>
      <c r="Y459" s="22"/>
    </row>
    <row r="460" ht="14.25" customHeight="1">
      <c r="R460" s="22"/>
      <c r="S460" s="23"/>
      <c r="T460" s="22"/>
      <c r="U460" s="24"/>
      <c r="V460" s="25"/>
      <c r="W460" s="26"/>
      <c r="Y460" s="22"/>
    </row>
    <row r="461" ht="14.25" customHeight="1">
      <c r="R461" s="22"/>
      <c r="S461" s="23"/>
      <c r="T461" s="22"/>
      <c r="U461" s="24"/>
      <c r="V461" s="25"/>
      <c r="W461" s="26"/>
      <c r="Y461" s="22"/>
    </row>
    <row r="462" ht="14.25" customHeight="1">
      <c r="R462" s="22"/>
      <c r="S462" s="23"/>
      <c r="T462" s="22"/>
      <c r="U462" s="24"/>
      <c r="V462" s="25"/>
      <c r="W462" s="26"/>
      <c r="Y462" s="22"/>
    </row>
    <row r="463" ht="14.25" customHeight="1">
      <c r="R463" s="22"/>
      <c r="S463" s="23"/>
      <c r="T463" s="22"/>
      <c r="U463" s="24"/>
      <c r="V463" s="25"/>
      <c r="W463" s="26"/>
      <c r="Y463" s="22"/>
    </row>
    <row r="464" ht="14.25" customHeight="1">
      <c r="R464" s="22"/>
      <c r="S464" s="23"/>
      <c r="T464" s="22"/>
      <c r="U464" s="24"/>
      <c r="V464" s="25"/>
      <c r="W464" s="26"/>
      <c r="Y464" s="22"/>
    </row>
    <row r="465" ht="14.25" customHeight="1">
      <c r="R465" s="22"/>
      <c r="S465" s="23"/>
      <c r="T465" s="22"/>
      <c r="U465" s="24"/>
      <c r="V465" s="25"/>
      <c r="W465" s="26"/>
      <c r="Y465" s="22"/>
    </row>
    <row r="466" ht="14.25" customHeight="1">
      <c r="R466" s="22"/>
      <c r="S466" s="23"/>
      <c r="T466" s="22"/>
      <c r="U466" s="24"/>
      <c r="V466" s="25"/>
      <c r="W466" s="26"/>
      <c r="Y466" s="22"/>
    </row>
    <row r="467" ht="14.25" customHeight="1">
      <c r="R467" s="22"/>
      <c r="S467" s="23"/>
      <c r="T467" s="22"/>
      <c r="U467" s="24"/>
      <c r="V467" s="25"/>
      <c r="W467" s="26"/>
      <c r="Y467" s="22"/>
    </row>
    <row r="468" ht="14.25" customHeight="1">
      <c r="R468" s="22"/>
      <c r="S468" s="23"/>
      <c r="T468" s="22"/>
      <c r="U468" s="24"/>
      <c r="V468" s="25"/>
      <c r="W468" s="26"/>
      <c r="Y468" s="22"/>
    </row>
    <row r="469" ht="14.25" customHeight="1">
      <c r="R469" s="22"/>
      <c r="S469" s="23"/>
      <c r="T469" s="22"/>
      <c r="U469" s="24"/>
      <c r="V469" s="25"/>
      <c r="W469" s="26"/>
      <c r="Y469" s="22"/>
    </row>
    <row r="470" ht="14.25" customHeight="1">
      <c r="R470" s="22"/>
      <c r="S470" s="23"/>
      <c r="T470" s="22"/>
      <c r="U470" s="24"/>
      <c r="V470" s="25"/>
      <c r="W470" s="26"/>
      <c r="Y470" s="22"/>
    </row>
    <row r="471" ht="14.25" customHeight="1">
      <c r="R471" s="22"/>
      <c r="S471" s="23"/>
      <c r="T471" s="22"/>
      <c r="U471" s="24"/>
      <c r="V471" s="25"/>
      <c r="W471" s="26"/>
      <c r="Y471" s="22"/>
    </row>
    <row r="472" ht="14.25" customHeight="1">
      <c r="R472" s="22"/>
      <c r="S472" s="23"/>
      <c r="T472" s="22"/>
      <c r="U472" s="24"/>
      <c r="V472" s="25"/>
      <c r="W472" s="26"/>
      <c r="Y472" s="22"/>
    </row>
    <row r="473" ht="14.25" customHeight="1">
      <c r="R473" s="22"/>
      <c r="S473" s="23"/>
      <c r="T473" s="22"/>
      <c r="U473" s="24"/>
      <c r="V473" s="25"/>
      <c r="W473" s="26"/>
      <c r="Y473" s="22"/>
    </row>
    <row r="474" ht="14.25" customHeight="1">
      <c r="R474" s="22"/>
      <c r="S474" s="23"/>
      <c r="T474" s="22"/>
      <c r="U474" s="24"/>
      <c r="V474" s="25"/>
      <c r="W474" s="26"/>
      <c r="Y474" s="22"/>
    </row>
    <row r="475" ht="14.25" customHeight="1">
      <c r="R475" s="22"/>
      <c r="S475" s="23"/>
      <c r="T475" s="22"/>
      <c r="U475" s="24"/>
      <c r="V475" s="25"/>
      <c r="W475" s="26"/>
      <c r="Y475" s="22"/>
    </row>
    <row r="476" ht="14.25" customHeight="1">
      <c r="R476" s="22"/>
      <c r="S476" s="23"/>
      <c r="T476" s="22"/>
      <c r="U476" s="24"/>
      <c r="V476" s="25"/>
      <c r="W476" s="26"/>
      <c r="Y476" s="22"/>
    </row>
    <row r="477" ht="14.25" customHeight="1">
      <c r="R477" s="22"/>
      <c r="S477" s="23"/>
      <c r="T477" s="22"/>
      <c r="U477" s="24"/>
      <c r="V477" s="25"/>
      <c r="W477" s="26"/>
      <c r="Y477" s="22"/>
    </row>
    <row r="478" ht="14.25" customHeight="1">
      <c r="R478" s="22"/>
      <c r="S478" s="23"/>
      <c r="T478" s="22"/>
      <c r="U478" s="24"/>
      <c r="V478" s="25"/>
      <c r="W478" s="26"/>
      <c r="Y478" s="22"/>
    </row>
    <row r="479" ht="14.25" customHeight="1">
      <c r="R479" s="22"/>
      <c r="S479" s="23"/>
      <c r="T479" s="22"/>
      <c r="U479" s="24"/>
      <c r="V479" s="25"/>
      <c r="W479" s="26"/>
      <c r="Y479" s="22"/>
    </row>
    <row r="480" ht="14.25" customHeight="1">
      <c r="R480" s="22"/>
      <c r="S480" s="23"/>
      <c r="T480" s="22"/>
      <c r="U480" s="24"/>
      <c r="V480" s="25"/>
      <c r="W480" s="26"/>
      <c r="Y480" s="22"/>
    </row>
    <row r="481" ht="14.25" customHeight="1">
      <c r="R481" s="22"/>
      <c r="S481" s="23"/>
      <c r="T481" s="22"/>
      <c r="U481" s="24"/>
      <c r="V481" s="25"/>
      <c r="W481" s="26"/>
      <c r="Y481" s="22"/>
    </row>
    <row r="482" ht="14.25" customHeight="1">
      <c r="R482" s="22"/>
      <c r="S482" s="23"/>
      <c r="T482" s="22"/>
      <c r="U482" s="24"/>
      <c r="V482" s="25"/>
      <c r="W482" s="26"/>
      <c r="Y482" s="22"/>
    </row>
    <row r="483" ht="14.25" customHeight="1">
      <c r="R483" s="22"/>
      <c r="S483" s="23"/>
      <c r="T483" s="22"/>
      <c r="U483" s="24"/>
      <c r="V483" s="25"/>
      <c r="W483" s="26"/>
      <c r="Y483" s="22"/>
    </row>
    <row r="484" ht="14.25" customHeight="1">
      <c r="R484" s="22"/>
      <c r="S484" s="23"/>
      <c r="T484" s="22"/>
      <c r="U484" s="24"/>
      <c r="V484" s="25"/>
      <c r="W484" s="26"/>
      <c r="Y484" s="22"/>
    </row>
    <row r="485" ht="14.25" customHeight="1">
      <c r="R485" s="22"/>
      <c r="S485" s="23"/>
      <c r="T485" s="22"/>
      <c r="U485" s="24"/>
      <c r="V485" s="25"/>
      <c r="W485" s="26"/>
      <c r="Y485" s="22"/>
    </row>
    <row r="486" ht="14.25" customHeight="1">
      <c r="R486" s="22"/>
      <c r="S486" s="23"/>
      <c r="T486" s="22"/>
      <c r="U486" s="24"/>
      <c r="V486" s="25"/>
      <c r="W486" s="26"/>
      <c r="Y486" s="22"/>
    </row>
    <row r="487" ht="14.25" customHeight="1">
      <c r="R487" s="22"/>
      <c r="S487" s="23"/>
      <c r="T487" s="22"/>
      <c r="U487" s="24"/>
      <c r="V487" s="25"/>
      <c r="W487" s="26"/>
      <c r="Y487" s="22"/>
    </row>
    <row r="488" ht="14.25" customHeight="1">
      <c r="R488" s="22"/>
      <c r="S488" s="23"/>
      <c r="T488" s="22"/>
      <c r="U488" s="24"/>
      <c r="V488" s="25"/>
      <c r="W488" s="26"/>
      <c r="Y488" s="22"/>
    </row>
    <row r="489" ht="14.25" customHeight="1">
      <c r="R489" s="22"/>
      <c r="S489" s="23"/>
      <c r="T489" s="22"/>
      <c r="U489" s="24"/>
      <c r="V489" s="25"/>
      <c r="W489" s="26"/>
      <c r="Y489" s="22"/>
    </row>
    <row r="490" ht="14.25" customHeight="1">
      <c r="R490" s="22"/>
      <c r="S490" s="23"/>
      <c r="T490" s="22"/>
      <c r="U490" s="24"/>
      <c r="V490" s="25"/>
      <c r="W490" s="26"/>
      <c r="Y490" s="22"/>
    </row>
    <row r="491" ht="14.25" customHeight="1">
      <c r="R491" s="22"/>
      <c r="S491" s="23"/>
      <c r="T491" s="22"/>
      <c r="U491" s="24"/>
      <c r="V491" s="25"/>
      <c r="W491" s="26"/>
      <c r="Y491" s="22"/>
    </row>
    <row r="492" ht="14.25" customHeight="1">
      <c r="R492" s="22"/>
      <c r="S492" s="23"/>
      <c r="T492" s="22"/>
      <c r="U492" s="24"/>
      <c r="V492" s="25"/>
      <c r="W492" s="26"/>
      <c r="Y492" s="22"/>
    </row>
    <row r="493" ht="14.25" customHeight="1">
      <c r="R493" s="22"/>
      <c r="S493" s="23"/>
      <c r="T493" s="22"/>
      <c r="U493" s="24"/>
      <c r="V493" s="25"/>
      <c r="W493" s="26"/>
      <c r="Y493" s="22"/>
    </row>
    <row r="494" ht="14.25" customHeight="1">
      <c r="R494" s="22"/>
      <c r="S494" s="23"/>
      <c r="T494" s="22"/>
      <c r="U494" s="24"/>
      <c r="V494" s="25"/>
      <c r="W494" s="26"/>
      <c r="Y494" s="22"/>
    </row>
    <row r="495" ht="14.25" customHeight="1">
      <c r="R495" s="22"/>
      <c r="S495" s="23"/>
      <c r="T495" s="22"/>
      <c r="U495" s="24"/>
      <c r="V495" s="25"/>
      <c r="W495" s="26"/>
      <c r="Y495" s="22"/>
    </row>
    <row r="496" ht="14.25" customHeight="1">
      <c r="R496" s="22"/>
      <c r="S496" s="23"/>
      <c r="T496" s="22"/>
      <c r="U496" s="24"/>
      <c r="V496" s="25"/>
      <c r="W496" s="26"/>
      <c r="Y496" s="22"/>
    </row>
    <row r="497" ht="14.25" customHeight="1">
      <c r="R497" s="22"/>
      <c r="S497" s="23"/>
      <c r="T497" s="22"/>
      <c r="U497" s="24"/>
      <c r="V497" s="25"/>
      <c r="W497" s="26"/>
      <c r="Y497" s="22"/>
    </row>
    <row r="498" ht="14.25" customHeight="1">
      <c r="R498" s="22"/>
      <c r="S498" s="23"/>
      <c r="T498" s="22"/>
      <c r="U498" s="24"/>
      <c r="V498" s="25"/>
      <c r="W498" s="26"/>
      <c r="Y498" s="22"/>
    </row>
    <row r="499" ht="14.25" customHeight="1">
      <c r="R499" s="22"/>
      <c r="S499" s="23"/>
      <c r="T499" s="22"/>
      <c r="U499" s="24"/>
      <c r="V499" s="25"/>
      <c r="W499" s="26"/>
      <c r="Y499" s="22"/>
    </row>
    <row r="500" ht="14.25" customHeight="1">
      <c r="R500" s="22"/>
      <c r="S500" s="23"/>
      <c r="T500" s="22"/>
      <c r="U500" s="24"/>
      <c r="V500" s="25"/>
      <c r="W500" s="26"/>
      <c r="Y500" s="22"/>
    </row>
    <row r="501" ht="14.25" customHeight="1">
      <c r="R501" s="22"/>
      <c r="S501" s="23"/>
      <c r="T501" s="22"/>
      <c r="U501" s="24"/>
      <c r="V501" s="25"/>
      <c r="W501" s="26"/>
      <c r="Y501" s="22"/>
    </row>
    <row r="502" ht="14.25" customHeight="1">
      <c r="R502" s="22"/>
      <c r="S502" s="23"/>
      <c r="T502" s="22"/>
      <c r="U502" s="24"/>
      <c r="V502" s="25"/>
      <c r="W502" s="26"/>
      <c r="Y502" s="22"/>
    </row>
    <row r="503" ht="14.25" customHeight="1">
      <c r="R503" s="22"/>
      <c r="S503" s="23"/>
      <c r="T503" s="22"/>
      <c r="U503" s="24"/>
      <c r="V503" s="25"/>
      <c r="W503" s="26"/>
      <c r="Y503" s="22"/>
    </row>
    <row r="504" ht="14.25" customHeight="1">
      <c r="R504" s="22"/>
      <c r="S504" s="23"/>
      <c r="T504" s="22"/>
      <c r="U504" s="24"/>
      <c r="V504" s="25"/>
      <c r="W504" s="26"/>
      <c r="Y504" s="22"/>
    </row>
    <row r="505" ht="14.25" customHeight="1">
      <c r="R505" s="22"/>
      <c r="S505" s="23"/>
      <c r="T505" s="22"/>
      <c r="U505" s="24"/>
      <c r="V505" s="25"/>
      <c r="W505" s="26"/>
      <c r="Y505" s="22"/>
    </row>
    <row r="506" ht="14.25" customHeight="1">
      <c r="R506" s="22"/>
      <c r="S506" s="23"/>
      <c r="T506" s="22"/>
      <c r="U506" s="24"/>
      <c r="V506" s="25"/>
      <c r="W506" s="26"/>
      <c r="Y506" s="22"/>
    </row>
    <row r="507" ht="14.25" customHeight="1">
      <c r="R507" s="22"/>
      <c r="S507" s="23"/>
      <c r="T507" s="22"/>
      <c r="U507" s="24"/>
      <c r="V507" s="25"/>
      <c r="W507" s="26"/>
      <c r="Y507" s="22"/>
    </row>
    <row r="508" ht="14.25" customHeight="1">
      <c r="R508" s="22"/>
      <c r="S508" s="23"/>
      <c r="T508" s="22"/>
      <c r="U508" s="24"/>
      <c r="V508" s="25"/>
      <c r="W508" s="26"/>
      <c r="Y508" s="22"/>
    </row>
    <row r="509" ht="14.25" customHeight="1">
      <c r="R509" s="22"/>
      <c r="S509" s="23"/>
      <c r="T509" s="22"/>
      <c r="U509" s="24"/>
      <c r="V509" s="25"/>
      <c r="W509" s="26"/>
      <c r="Y509" s="22"/>
    </row>
    <row r="510" ht="14.25" customHeight="1">
      <c r="R510" s="22"/>
      <c r="S510" s="23"/>
      <c r="T510" s="22"/>
      <c r="U510" s="24"/>
      <c r="V510" s="25"/>
      <c r="W510" s="26"/>
      <c r="Y510" s="22"/>
    </row>
    <row r="511" ht="14.25" customHeight="1">
      <c r="R511" s="22"/>
      <c r="S511" s="23"/>
      <c r="T511" s="22"/>
      <c r="U511" s="24"/>
      <c r="V511" s="25"/>
      <c r="W511" s="26"/>
      <c r="Y511" s="22"/>
    </row>
    <row r="512" ht="14.25" customHeight="1">
      <c r="R512" s="22"/>
      <c r="S512" s="23"/>
      <c r="T512" s="22"/>
      <c r="U512" s="24"/>
      <c r="V512" s="25"/>
      <c r="W512" s="26"/>
      <c r="Y512" s="22"/>
    </row>
    <row r="513" ht="14.25" customHeight="1">
      <c r="R513" s="22"/>
      <c r="S513" s="23"/>
      <c r="T513" s="22"/>
      <c r="U513" s="24"/>
      <c r="V513" s="25"/>
      <c r="W513" s="26"/>
      <c r="Y513" s="22"/>
    </row>
    <row r="514" ht="14.25" customHeight="1">
      <c r="R514" s="22"/>
      <c r="S514" s="23"/>
      <c r="T514" s="22"/>
      <c r="U514" s="24"/>
      <c r="V514" s="25"/>
      <c r="W514" s="26"/>
      <c r="Y514" s="22"/>
    </row>
    <row r="515" ht="14.25" customHeight="1">
      <c r="R515" s="22"/>
      <c r="S515" s="23"/>
      <c r="T515" s="22"/>
      <c r="U515" s="24"/>
      <c r="V515" s="25"/>
      <c r="W515" s="26"/>
      <c r="Y515" s="22"/>
    </row>
    <row r="516" ht="14.25" customHeight="1">
      <c r="R516" s="22"/>
      <c r="S516" s="23"/>
      <c r="T516" s="22"/>
      <c r="U516" s="24"/>
      <c r="V516" s="25"/>
      <c r="W516" s="26"/>
      <c r="Y516" s="22"/>
    </row>
    <row r="517" ht="14.25" customHeight="1">
      <c r="R517" s="22"/>
      <c r="S517" s="23"/>
      <c r="T517" s="22"/>
      <c r="U517" s="24"/>
      <c r="V517" s="25"/>
      <c r="W517" s="26"/>
      <c r="Y517" s="22"/>
    </row>
    <row r="518" ht="14.25" customHeight="1">
      <c r="R518" s="22"/>
      <c r="S518" s="23"/>
      <c r="T518" s="22"/>
      <c r="U518" s="24"/>
      <c r="V518" s="25"/>
      <c r="W518" s="26"/>
      <c r="Y518" s="22"/>
    </row>
    <row r="519" ht="14.25" customHeight="1">
      <c r="R519" s="22"/>
      <c r="S519" s="23"/>
      <c r="T519" s="22"/>
      <c r="U519" s="24"/>
      <c r="V519" s="25"/>
      <c r="W519" s="26"/>
      <c r="Y519" s="22"/>
    </row>
    <row r="520" ht="14.25" customHeight="1">
      <c r="R520" s="22"/>
      <c r="S520" s="23"/>
      <c r="T520" s="22"/>
      <c r="U520" s="24"/>
      <c r="V520" s="25"/>
      <c r="W520" s="26"/>
      <c r="Y520" s="22"/>
    </row>
    <row r="521" ht="14.25" customHeight="1">
      <c r="R521" s="22"/>
      <c r="S521" s="23"/>
      <c r="T521" s="22"/>
      <c r="U521" s="24"/>
      <c r="V521" s="25"/>
      <c r="W521" s="26"/>
      <c r="Y521" s="22"/>
    </row>
    <row r="522" ht="14.25" customHeight="1">
      <c r="R522" s="22"/>
      <c r="S522" s="23"/>
      <c r="T522" s="22"/>
      <c r="U522" s="24"/>
      <c r="V522" s="25"/>
      <c r="W522" s="26"/>
      <c r="Y522" s="22"/>
    </row>
    <row r="523" ht="14.25" customHeight="1">
      <c r="R523" s="22"/>
      <c r="S523" s="23"/>
      <c r="T523" s="22"/>
      <c r="U523" s="24"/>
      <c r="V523" s="25"/>
      <c r="W523" s="26"/>
      <c r="Y523" s="22"/>
    </row>
    <row r="524" ht="14.25" customHeight="1">
      <c r="R524" s="22"/>
      <c r="S524" s="23"/>
      <c r="T524" s="22"/>
      <c r="U524" s="24"/>
      <c r="V524" s="25"/>
      <c r="W524" s="26"/>
      <c r="Y524" s="22"/>
    </row>
    <row r="525" ht="14.25" customHeight="1">
      <c r="R525" s="22"/>
      <c r="S525" s="23"/>
      <c r="T525" s="22"/>
      <c r="U525" s="24"/>
      <c r="V525" s="25"/>
      <c r="W525" s="26"/>
      <c r="Y525" s="22"/>
    </row>
    <row r="526" ht="14.25" customHeight="1">
      <c r="R526" s="22"/>
      <c r="S526" s="23"/>
      <c r="T526" s="22"/>
      <c r="U526" s="24"/>
      <c r="V526" s="25"/>
      <c r="W526" s="26"/>
      <c r="Y526" s="22"/>
    </row>
    <row r="527" ht="14.25" customHeight="1">
      <c r="R527" s="22"/>
      <c r="S527" s="23"/>
      <c r="T527" s="22"/>
      <c r="U527" s="24"/>
      <c r="V527" s="25"/>
      <c r="W527" s="26"/>
      <c r="Y527" s="22"/>
    </row>
    <row r="528" ht="14.25" customHeight="1">
      <c r="R528" s="22"/>
      <c r="S528" s="23"/>
      <c r="T528" s="22"/>
      <c r="U528" s="24"/>
      <c r="V528" s="25"/>
      <c r="W528" s="26"/>
      <c r="Y528" s="22"/>
    </row>
    <row r="529" ht="14.25" customHeight="1">
      <c r="R529" s="22"/>
      <c r="S529" s="23"/>
      <c r="T529" s="22"/>
      <c r="U529" s="24"/>
      <c r="V529" s="25"/>
      <c r="W529" s="26"/>
      <c r="Y529" s="22"/>
    </row>
    <row r="530" ht="14.25" customHeight="1">
      <c r="R530" s="22"/>
      <c r="S530" s="23"/>
      <c r="T530" s="22"/>
      <c r="U530" s="24"/>
      <c r="V530" s="25"/>
      <c r="W530" s="26"/>
      <c r="Y530" s="22"/>
    </row>
    <row r="531" ht="14.25" customHeight="1">
      <c r="R531" s="22"/>
      <c r="S531" s="23"/>
      <c r="T531" s="22"/>
      <c r="U531" s="24"/>
      <c r="V531" s="25"/>
      <c r="W531" s="26"/>
      <c r="Y531" s="22"/>
    </row>
    <row r="532" ht="14.25" customHeight="1">
      <c r="R532" s="22"/>
      <c r="S532" s="23"/>
      <c r="T532" s="22"/>
      <c r="U532" s="24"/>
      <c r="V532" s="25"/>
      <c r="W532" s="26"/>
      <c r="Y532" s="22"/>
    </row>
    <row r="533" ht="14.25" customHeight="1">
      <c r="R533" s="22"/>
      <c r="S533" s="23"/>
      <c r="T533" s="22"/>
      <c r="U533" s="24"/>
      <c r="V533" s="25"/>
      <c r="W533" s="26"/>
      <c r="Y533" s="22"/>
    </row>
    <row r="534" ht="14.25" customHeight="1">
      <c r="R534" s="22"/>
      <c r="S534" s="23"/>
      <c r="T534" s="22"/>
      <c r="U534" s="24"/>
      <c r="V534" s="25"/>
      <c r="W534" s="26"/>
      <c r="Y534" s="22"/>
    </row>
    <row r="535" ht="14.25" customHeight="1">
      <c r="R535" s="22"/>
      <c r="S535" s="23"/>
      <c r="T535" s="22"/>
      <c r="U535" s="24"/>
      <c r="V535" s="25"/>
      <c r="W535" s="26"/>
      <c r="Y535" s="22"/>
    </row>
    <row r="536" ht="14.25" customHeight="1">
      <c r="R536" s="22"/>
      <c r="S536" s="23"/>
      <c r="T536" s="22"/>
      <c r="U536" s="24"/>
      <c r="V536" s="25"/>
      <c r="W536" s="26"/>
      <c r="Y536" s="22"/>
    </row>
    <row r="537" ht="14.25" customHeight="1">
      <c r="R537" s="22"/>
      <c r="S537" s="23"/>
      <c r="T537" s="22"/>
      <c r="U537" s="24"/>
      <c r="V537" s="25"/>
      <c r="W537" s="26"/>
      <c r="Y537" s="22"/>
    </row>
    <row r="538" ht="14.25" customHeight="1">
      <c r="R538" s="22"/>
      <c r="S538" s="23"/>
      <c r="T538" s="22"/>
      <c r="U538" s="24"/>
      <c r="V538" s="25"/>
      <c r="W538" s="26"/>
      <c r="Y538" s="22"/>
    </row>
    <row r="539" ht="14.25" customHeight="1">
      <c r="R539" s="22"/>
      <c r="S539" s="23"/>
      <c r="T539" s="22"/>
      <c r="U539" s="24"/>
      <c r="V539" s="25"/>
      <c r="W539" s="26"/>
      <c r="Y539" s="22"/>
    </row>
    <row r="540" ht="14.25" customHeight="1">
      <c r="R540" s="22"/>
      <c r="S540" s="23"/>
      <c r="T540" s="22"/>
      <c r="U540" s="24"/>
      <c r="V540" s="25"/>
      <c r="W540" s="26"/>
      <c r="Y540" s="22"/>
    </row>
    <row r="541" ht="14.25" customHeight="1">
      <c r="R541" s="22"/>
      <c r="S541" s="23"/>
      <c r="T541" s="22"/>
      <c r="U541" s="24"/>
      <c r="V541" s="25"/>
      <c r="W541" s="26"/>
      <c r="Y541" s="22"/>
    </row>
    <row r="542" ht="14.25" customHeight="1">
      <c r="R542" s="22"/>
      <c r="S542" s="23"/>
      <c r="T542" s="22"/>
      <c r="U542" s="24"/>
      <c r="V542" s="25"/>
      <c r="W542" s="26"/>
      <c r="Y542" s="22"/>
    </row>
    <row r="543" ht="14.25" customHeight="1">
      <c r="R543" s="22"/>
      <c r="S543" s="23"/>
      <c r="T543" s="22"/>
      <c r="U543" s="24"/>
      <c r="V543" s="25"/>
      <c r="W543" s="26"/>
      <c r="Y543" s="22"/>
    </row>
    <row r="544" ht="14.25" customHeight="1">
      <c r="R544" s="22"/>
      <c r="S544" s="23"/>
      <c r="T544" s="22"/>
      <c r="U544" s="24"/>
      <c r="V544" s="25"/>
      <c r="W544" s="26"/>
      <c r="Y544" s="22"/>
    </row>
    <row r="545" ht="14.25" customHeight="1">
      <c r="R545" s="22"/>
      <c r="S545" s="23"/>
      <c r="T545" s="22"/>
      <c r="U545" s="24"/>
      <c r="V545" s="25"/>
      <c r="W545" s="26"/>
      <c r="Y545" s="22"/>
    </row>
    <row r="546" ht="14.25" customHeight="1">
      <c r="R546" s="22"/>
      <c r="S546" s="23"/>
      <c r="T546" s="22"/>
      <c r="U546" s="24"/>
      <c r="V546" s="25"/>
      <c r="W546" s="26"/>
      <c r="Y546" s="22"/>
    </row>
    <row r="547" ht="14.25" customHeight="1">
      <c r="R547" s="22"/>
      <c r="S547" s="23"/>
      <c r="T547" s="22"/>
      <c r="U547" s="24"/>
      <c r="V547" s="25"/>
      <c r="W547" s="26"/>
      <c r="Y547" s="22"/>
    </row>
    <row r="548" ht="14.25" customHeight="1">
      <c r="R548" s="22"/>
      <c r="S548" s="23"/>
      <c r="T548" s="22"/>
      <c r="U548" s="24"/>
      <c r="V548" s="25"/>
      <c r="W548" s="26"/>
      <c r="Y548" s="22"/>
    </row>
    <row r="549" ht="14.25" customHeight="1">
      <c r="R549" s="22"/>
      <c r="S549" s="23"/>
      <c r="T549" s="22"/>
      <c r="U549" s="24"/>
      <c r="V549" s="25"/>
      <c r="W549" s="26"/>
      <c r="Y549" s="22"/>
    </row>
    <row r="550" ht="14.25" customHeight="1">
      <c r="R550" s="22"/>
      <c r="S550" s="23"/>
      <c r="T550" s="22"/>
      <c r="U550" s="24"/>
      <c r="V550" s="25"/>
      <c r="W550" s="26"/>
      <c r="Y550" s="22"/>
    </row>
    <row r="551" ht="14.25" customHeight="1">
      <c r="R551" s="22"/>
      <c r="S551" s="23"/>
      <c r="T551" s="22"/>
      <c r="U551" s="24"/>
      <c r="V551" s="25"/>
      <c r="W551" s="26"/>
      <c r="Y551" s="22"/>
    </row>
    <row r="552" ht="14.25" customHeight="1">
      <c r="R552" s="22"/>
      <c r="S552" s="23"/>
      <c r="T552" s="22"/>
      <c r="U552" s="24"/>
      <c r="V552" s="25"/>
      <c r="W552" s="26"/>
      <c r="Y552" s="22"/>
    </row>
    <row r="553" ht="14.25" customHeight="1">
      <c r="R553" s="22"/>
      <c r="S553" s="23"/>
      <c r="T553" s="22"/>
      <c r="U553" s="24"/>
      <c r="V553" s="25"/>
      <c r="W553" s="26"/>
      <c r="Y553" s="22"/>
    </row>
    <row r="554" ht="14.25" customHeight="1">
      <c r="R554" s="22"/>
      <c r="S554" s="23"/>
      <c r="T554" s="22"/>
      <c r="U554" s="24"/>
      <c r="V554" s="25"/>
      <c r="W554" s="26"/>
      <c r="Y554" s="22"/>
    </row>
    <row r="555" ht="14.25" customHeight="1">
      <c r="R555" s="22"/>
      <c r="S555" s="23"/>
      <c r="T555" s="22"/>
      <c r="U555" s="24"/>
      <c r="V555" s="25"/>
      <c r="W555" s="26"/>
      <c r="Y555" s="22"/>
    </row>
    <row r="556" ht="14.25" customHeight="1">
      <c r="R556" s="22"/>
      <c r="S556" s="23"/>
      <c r="T556" s="22"/>
      <c r="U556" s="24"/>
      <c r="V556" s="25"/>
      <c r="W556" s="26"/>
      <c r="Y556" s="22"/>
    </row>
    <row r="557" ht="14.25" customHeight="1">
      <c r="R557" s="22"/>
      <c r="S557" s="23"/>
      <c r="T557" s="22"/>
      <c r="U557" s="24"/>
      <c r="V557" s="25"/>
      <c r="W557" s="26"/>
      <c r="Y557" s="22"/>
    </row>
    <row r="558" ht="14.25" customHeight="1">
      <c r="R558" s="22"/>
      <c r="S558" s="23"/>
      <c r="T558" s="22"/>
      <c r="U558" s="24"/>
      <c r="V558" s="25"/>
      <c r="W558" s="26"/>
      <c r="Y558" s="22"/>
    </row>
    <row r="559" ht="14.25" customHeight="1">
      <c r="R559" s="22"/>
      <c r="S559" s="23"/>
      <c r="T559" s="22"/>
      <c r="U559" s="24"/>
      <c r="V559" s="25"/>
      <c r="W559" s="26"/>
      <c r="Y559" s="22"/>
    </row>
    <row r="560" ht="14.25" customHeight="1">
      <c r="R560" s="22"/>
      <c r="S560" s="23"/>
      <c r="T560" s="22"/>
      <c r="U560" s="24"/>
      <c r="V560" s="25"/>
      <c r="W560" s="26"/>
      <c r="Y560" s="22"/>
    </row>
    <row r="561" ht="14.25" customHeight="1">
      <c r="R561" s="22"/>
      <c r="S561" s="23"/>
      <c r="T561" s="22"/>
      <c r="U561" s="24"/>
      <c r="V561" s="25"/>
      <c r="W561" s="26"/>
      <c r="Y561" s="22"/>
    </row>
    <row r="562" ht="14.25" customHeight="1">
      <c r="R562" s="22"/>
      <c r="S562" s="23"/>
      <c r="T562" s="22"/>
      <c r="U562" s="24"/>
      <c r="V562" s="25"/>
      <c r="W562" s="26"/>
      <c r="Y562" s="22"/>
    </row>
    <row r="563" ht="14.25" customHeight="1">
      <c r="R563" s="22"/>
      <c r="S563" s="23"/>
      <c r="T563" s="22"/>
      <c r="U563" s="24"/>
      <c r="V563" s="25"/>
      <c r="W563" s="26"/>
      <c r="Y563" s="22"/>
    </row>
    <row r="564" ht="14.25" customHeight="1">
      <c r="R564" s="22"/>
      <c r="S564" s="23"/>
      <c r="T564" s="22"/>
      <c r="U564" s="24"/>
      <c r="V564" s="25"/>
      <c r="W564" s="26"/>
      <c r="Y564" s="22"/>
    </row>
    <row r="565" ht="14.25" customHeight="1">
      <c r="R565" s="22"/>
      <c r="S565" s="23"/>
      <c r="T565" s="22"/>
      <c r="U565" s="24"/>
      <c r="V565" s="25"/>
      <c r="W565" s="26"/>
      <c r="Y565" s="22"/>
    </row>
    <row r="566" ht="14.25" customHeight="1">
      <c r="R566" s="22"/>
      <c r="S566" s="23"/>
      <c r="T566" s="22"/>
      <c r="U566" s="24"/>
      <c r="V566" s="25"/>
      <c r="W566" s="26"/>
      <c r="Y566" s="22"/>
    </row>
    <row r="567" ht="14.25" customHeight="1">
      <c r="R567" s="22"/>
      <c r="S567" s="23"/>
      <c r="T567" s="22"/>
      <c r="U567" s="24"/>
      <c r="V567" s="25"/>
      <c r="W567" s="26"/>
      <c r="Y567" s="22"/>
    </row>
    <row r="568" ht="14.25" customHeight="1">
      <c r="R568" s="22"/>
      <c r="S568" s="23"/>
      <c r="T568" s="22"/>
      <c r="U568" s="24"/>
      <c r="V568" s="25"/>
      <c r="W568" s="26"/>
      <c r="Y568" s="22"/>
    </row>
    <row r="569" ht="14.25" customHeight="1">
      <c r="R569" s="22"/>
      <c r="S569" s="23"/>
      <c r="T569" s="22"/>
      <c r="U569" s="24"/>
      <c r="V569" s="25"/>
      <c r="W569" s="26"/>
      <c r="Y569" s="22"/>
    </row>
    <row r="570" ht="14.25" customHeight="1">
      <c r="R570" s="22"/>
      <c r="S570" s="23"/>
      <c r="T570" s="22"/>
      <c r="U570" s="24"/>
      <c r="V570" s="25"/>
      <c r="W570" s="26"/>
      <c r="Y570" s="22"/>
    </row>
    <row r="571" ht="14.25" customHeight="1">
      <c r="R571" s="22"/>
      <c r="S571" s="23"/>
      <c r="T571" s="22"/>
      <c r="U571" s="24"/>
      <c r="V571" s="25"/>
      <c r="W571" s="26"/>
      <c r="Y571" s="22"/>
    </row>
    <row r="572" ht="14.25" customHeight="1">
      <c r="R572" s="22"/>
      <c r="S572" s="23"/>
      <c r="T572" s="22"/>
      <c r="U572" s="24"/>
      <c r="V572" s="25"/>
      <c r="W572" s="26"/>
      <c r="Y572" s="22"/>
    </row>
    <row r="573" ht="14.25" customHeight="1">
      <c r="R573" s="22"/>
      <c r="S573" s="23"/>
      <c r="T573" s="22"/>
      <c r="U573" s="24"/>
      <c r="V573" s="25"/>
      <c r="W573" s="26"/>
      <c r="Y573" s="22"/>
    </row>
    <row r="574" ht="14.25" customHeight="1">
      <c r="R574" s="22"/>
      <c r="S574" s="23"/>
      <c r="T574" s="22"/>
      <c r="U574" s="24"/>
      <c r="V574" s="25"/>
      <c r="W574" s="26"/>
      <c r="Y574" s="22"/>
    </row>
    <row r="575" ht="14.25" customHeight="1">
      <c r="R575" s="22"/>
      <c r="S575" s="23"/>
      <c r="T575" s="22"/>
      <c r="U575" s="24"/>
      <c r="V575" s="25"/>
      <c r="W575" s="26"/>
      <c r="Y575" s="22"/>
    </row>
    <row r="576" ht="14.25" customHeight="1">
      <c r="R576" s="22"/>
      <c r="S576" s="23"/>
      <c r="T576" s="22"/>
      <c r="U576" s="24"/>
      <c r="V576" s="25"/>
      <c r="W576" s="26"/>
      <c r="Y576" s="22"/>
    </row>
    <row r="577" ht="14.25" customHeight="1">
      <c r="R577" s="22"/>
      <c r="S577" s="23"/>
      <c r="T577" s="22"/>
      <c r="U577" s="24"/>
      <c r="V577" s="25"/>
      <c r="W577" s="26"/>
      <c r="Y577" s="22"/>
    </row>
    <row r="578" ht="14.25" customHeight="1">
      <c r="R578" s="22"/>
      <c r="S578" s="23"/>
      <c r="T578" s="22"/>
      <c r="U578" s="24"/>
      <c r="V578" s="25"/>
      <c r="W578" s="26"/>
      <c r="Y578" s="22"/>
    </row>
    <row r="579" ht="14.25" customHeight="1">
      <c r="R579" s="22"/>
      <c r="S579" s="23"/>
      <c r="T579" s="22"/>
      <c r="U579" s="24"/>
      <c r="V579" s="25"/>
      <c r="W579" s="26"/>
      <c r="Y579" s="22"/>
    </row>
    <row r="580" ht="14.25" customHeight="1">
      <c r="R580" s="22"/>
      <c r="S580" s="23"/>
      <c r="T580" s="22"/>
      <c r="U580" s="24"/>
      <c r="V580" s="25"/>
      <c r="W580" s="26"/>
      <c r="Y580" s="22"/>
    </row>
    <row r="581" ht="14.25" customHeight="1">
      <c r="R581" s="22"/>
      <c r="S581" s="23"/>
      <c r="T581" s="22"/>
      <c r="U581" s="24"/>
      <c r="V581" s="25"/>
      <c r="W581" s="26"/>
      <c r="Y581" s="22"/>
    </row>
    <row r="582" ht="14.25" customHeight="1">
      <c r="R582" s="22"/>
      <c r="S582" s="23"/>
      <c r="T582" s="22"/>
      <c r="U582" s="24"/>
      <c r="V582" s="25"/>
      <c r="W582" s="26"/>
      <c r="Y582" s="22"/>
    </row>
    <row r="583" ht="14.25" customHeight="1">
      <c r="R583" s="22"/>
      <c r="S583" s="23"/>
      <c r="T583" s="22"/>
      <c r="U583" s="24"/>
      <c r="V583" s="25"/>
      <c r="W583" s="26"/>
      <c r="Y583" s="22"/>
    </row>
    <row r="584" ht="14.25" customHeight="1">
      <c r="R584" s="22"/>
      <c r="S584" s="23"/>
      <c r="T584" s="22"/>
      <c r="U584" s="24"/>
      <c r="V584" s="25"/>
      <c r="W584" s="26"/>
      <c r="Y584" s="22"/>
    </row>
    <row r="585" ht="14.25" customHeight="1">
      <c r="R585" s="22"/>
      <c r="S585" s="23"/>
      <c r="T585" s="22"/>
      <c r="U585" s="24"/>
      <c r="V585" s="25"/>
      <c r="W585" s="26"/>
      <c r="Y585" s="22"/>
    </row>
    <row r="586" ht="14.25" customHeight="1">
      <c r="R586" s="22"/>
      <c r="S586" s="23"/>
      <c r="T586" s="22"/>
      <c r="U586" s="24"/>
      <c r="V586" s="25"/>
      <c r="W586" s="26"/>
      <c r="Y586" s="22"/>
    </row>
    <row r="587" ht="14.25" customHeight="1">
      <c r="R587" s="22"/>
      <c r="S587" s="23"/>
      <c r="T587" s="22"/>
      <c r="U587" s="24"/>
      <c r="V587" s="25"/>
      <c r="W587" s="26"/>
      <c r="Y587" s="22"/>
    </row>
    <row r="588" ht="14.25" customHeight="1">
      <c r="R588" s="22"/>
      <c r="S588" s="23"/>
      <c r="T588" s="22"/>
      <c r="U588" s="24"/>
      <c r="V588" s="25"/>
      <c r="W588" s="26"/>
      <c r="Y588" s="22"/>
    </row>
    <row r="589" ht="14.25" customHeight="1">
      <c r="R589" s="22"/>
      <c r="S589" s="23"/>
      <c r="T589" s="22"/>
      <c r="U589" s="24"/>
      <c r="V589" s="25"/>
      <c r="W589" s="26"/>
      <c r="Y589" s="22"/>
    </row>
    <row r="590" ht="14.25" customHeight="1">
      <c r="R590" s="22"/>
      <c r="S590" s="23"/>
      <c r="T590" s="22"/>
      <c r="U590" s="24"/>
      <c r="V590" s="25"/>
      <c r="W590" s="26"/>
      <c r="Y590" s="22"/>
    </row>
    <row r="591" ht="14.25" customHeight="1">
      <c r="R591" s="22"/>
      <c r="S591" s="23"/>
      <c r="T591" s="22"/>
      <c r="U591" s="24"/>
      <c r="V591" s="25"/>
      <c r="W591" s="26"/>
      <c r="Y591" s="22"/>
    </row>
    <row r="592" ht="14.25" customHeight="1">
      <c r="R592" s="22"/>
      <c r="S592" s="23"/>
      <c r="T592" s="22"/>
      <c r="U592" s="24"/>
      <c r="V592" s="25"/>
      <c r="W592" s="26"/>
      <c r="Y592" s="22"/>
    </row>
    <row r="593" ht="14.25" customHeight="1">
      <c r="R593" s="22"/>
      <c r="S593" s="23"/>
      <c r="T593" s="22"/>
      <c r="U593" s="24"/>
      <c r="V593" s="25"/>
      <c r="W593" s="26"/>
      <c r="Y593" s="22"/>
    </row>
    <row r="594" ht="14.25" customHeight="1">
      <c r="R594" s="22"/>
      <c r="S594" s="23"/>
      <c r="T594" s="22"/>
      <c r="U594" s="24"/>
      <c r="V594" s="25"/>
      <c r="W594" s="26"/>
      <c r="Y594" s="22"/>
    </row>
    <row r="595" ht="14.25" customHeight="1">
      <c r="R595" s="22"/>
      <c r="S595" s="23"/>
      <c r="T595" s="22"/>
      <c r="U595" s="24"/>
      <c r="V595" s="25"/>
      <c r="W595" s="26"/>
      <c r="Y595" s="22"/>
    </row>
    <row r="596" ht="14.25" customHeight="1">
      <c r="R596" s="22"/>
      <c r="S596" s="23"/>
      <c r="T596" s="22"/>
      <c r="U596" s="24"/>
      <c r="V596" s="25"/>
      <c r="W596" s="26"/>
      <c r="Y596" s="22"/>
    </row>
    <row r="597" ht="14.25" customHeight="1">
      <c r="R597" s="22"/>
      <c r="S597" s="23"/>
      <c r="T597" s="22"/>
      <c r="U597" s="24"/>
      <c r="V597" s="25"/>
      <c r="W597" s="26"/>
      <c r="Y597" s="22"/>
    </row>
    <row r="598" ht="14.25" customHeight="1">
      <c r="R598" s="22"/>
      <c r="S598" s="23"/>
      <c r="T598" s="22"/>
      <c r="U598" s="24"/>
      <c r="V598" s="25"/>
      <c r="W598" s="26"/>
      <c r="Y598" s="22"/>
    </row>
    <row r="599" ht="14.25" customHeight="1">
      <c r="R599" s="22"/>
      <c r="S599" s="23"/>
      <c r="T599" s="22"/>
      <c r="U599" s="24"/>
      <c r="V599" s="25"/>
      <c r="W599" s="26"/>
      <c r="Y599" s="22"/>
    </row>
    <row r="600" ht="14.25" customHeight="1">
      <c r="R600" s="22"/>
      <c r="S600" s="23"/>
      <c r="T600" s="22"/>
      <c r="U600" s="24"/>
      <c r="V600" s="25"/>
      <c r="W600" s="26"/>
      <c r="Y600" s="22"/>
    </row>
    <row r="601" ht="14.25" customHeight="1">
      <c r="R601" s="22"/>
      <c r="S601" s="23"/>
      <c r="T601" s="22"/>
      <c r="U601" s="24"/>
      <c r="V601" s="25"/>
      <c r="W601" s="26"/>
      <c r="Y601" s="22"/>
    </row>
    <row r="602" ht="14.25" customHeight="1">
      <c r="R602" s="22"/>
      <c r="S602" s="23"/>
      <c r="T602" s="22"/>
      <c r="U602" s="24"/>
      <c r="V602" s="25"/>
      <c r="W602" s="26"/>
      <c r="Y602" s="22"/>
    </row>
    <row r="603" ht="14.25" customHeight="1">
      <c r="R603" s="22"/>
      <c r="S603" s="23"/>
      <c r="T603" s="22"/>
      <c r="U603" s="24"/>
      <c r="V603" s="25"/>
      <c r="W603" s="26"/>
      <c r="Y603" s="22"/>
    </row>
    <row r="604" ht="14.25" customHeight="1">
      <c r="R604" s="22"/>
      <c r="S604" s="23"/>
      <c r="T604" s="22"/>
      <c r="U604" s="24"/>
      <c r="V604" s="25"/>
      <c r="W604" s="26"/>
      <c r="Y604" s="22"/>
    </row>
    <row r="605" ht="14.25" customHeight="1">
      <c r="R605" s="22"/>
      <c r="S605" s="23"/>
      <c r="T605" s="22"/>
      <c r="U605" s="24"/>
      <c r="V605" s="25"/>
      <c r="W605" s="26"/>
      <c r="Y605" s="22"/>
    </row>
    <row r="606" ht="14.25" customHeight="1">
      <c r="R606" s="22"/>
      <c r="S606" s="23"/>
      <c r="T606" s="22"/>
      <c r="U606" s="24"/>
      <c r="V606" s="25"/>
      <c r="W606" s="26"/>
      <c r="Y606" s="22"/>
    </row>
    <row r="607" ht="14.25" customHeight="1">
      <c r="R607" s="22"/>
      <c r="S607" s="23"/>
      <c r="T607" s="22"/>
      <c r="U607" s="24"/>
      <c r="V607" s="25"/>
      <c r="W607" s="26"/>
      <c r="Y607" s="22"/>
    </row>
    <row r="608" ht="14.25" customHeight="1">
      <c r="R608" s="22"/>
      <c r="S608" s="23"/>
      <c r="T608" s="22"/>
      <c r="U608" s="24"/>
      <c r="V608" s="25"/>
      <c r="W608" s="26"/>
      <c r="Y608" s="22"/>
    </row>
    <row r="609" ht="14.25" customHeight="1">
      <c r="R609" s="22"/>
      <c r="S609" s="23"/>
      <c r="T609" s="22"/>
      <c r="U609" s="24"/>
      <c r="V609" s="25"/>
      <c r="W609" s="26"/>
      <c r="Y609" s="22"/>
    </row>
    <row r="610" ht="14.25" customHeight="1">
      <c r="R610" s="22"/>
      <c r="S610" s="23"/>
      <c r="T610" s="22"/>
      <c r="U610" s="24"/>
      <c r="V610" s="25"/>
      <c r="W610" s="26"/>
      <c r="Y610" s="22"/>
    </row>
    <row r="611" ht="14.25" customHeight="1">
      <c r="R611" s="22"/>
      <c r="S611" s="23"/>
      <c r="T611" s="22"/>
      <c r="U611" s="24"/>
      <c r="V611" s="25"/>
      <c r="W611" s="26"/>
      <c r="Y611" s="22"/>
    </row>
    <row r="612" ht="14.25" customHeight="1">
      <c r="R612" s="22"/>
      <c r="S612" s="23"/>
      <c r="T612" s="22"/>
      <c r="U612" s="24"/>
      <c r="V612" s="25"/>
      <c r="W612" s="26"/>
      <c r="Y612" s="22"/>
    </row>
    <row r="613" ht="14.25" customHeight="1">
      <c r="R613" s="22"/>
      <c r="S613" s="23"/>
      <c r="T613" s="22"/>
      <c r="U613" s="24"/>
      <c r="V613" s="25"/>
      <c r="W613" s="26"/>
      <c r="Y613" s="22"/>
    </row>
    <row r="614" ht="14.25" customHeight="1">
      <c r="R614" s="22"/>
      <c r="S614" s="23"/>
      <c r="T614" s="22"/>
      <c r="U614" s="24"/>
      <c r="V614" s="25"/>
      <c r="W614" s="26"/>
      <c r="Y614" s="22"/>
    </row>
    <row r="615" ht="14.25" customHeight="1">
      <c r="R615" s="22"/>
      <c r="S615" s="23"/>
      <c r="T615" s="22"/>
      <c r="U615" s="24"/>
      <c r="V615" s="25"/>
      <c r="W615" s="26"/>
      <c r="Y615" s="22"/>
    </row>
    <row r="616" ht="14.25" customHeight="1">
      <c r="R616" s="22"/>
      <c r="S616" s="23"/>
      <c r="T616" s="22"/>
      <c r="U616" s="24"/>
      <c r="V616" s="25"/>
      <c r="W616" s="26"/>
      <c r="Y616" s="22"/>
    </row>
    <row r="617" ht="14.25" customHeight="1">
      <c r="R617" s="22"/>
      <c r="S617" s="23"/>
      <c r="T617" s="22"/>
      <c r="U617" s="24"/>
      <c r="V617" s="25"/>
      <c r="W617" s="26"/>
      <c r="Y617" s="22"/>
    </row>
    <row r="618" ht="14.25" customHeight="1">
      <c r="R618" s="22"/>
      <c r="S618" s="23"/>
      <c r="T618" s="22"/>
      <c r="U618" s="24"/>
      <c r="V618" s="25"/>
      <c r="W618" s="26"/>
      <c r="Y618" s="22"/>
    </row>
    <row r="619" ht="14.25" customHeight="1">
      <c r="R619" s="22"/>
      <c r="S619" s="23"/>
      <c r="T619" s="22"/>
      <c r="U619" s="24"/>
      <c r="V619" s="25"/>
      <c r="W619" s="26"/>
      <c r="Y619" s="22"/>
    </row>
    <row r="620" ht="14.25" customHeight="1">
      <c r="R620" s="22"/>
      <c r="S620" s="23"/>
      <c r="T620" s="22"/>
      <c r="U620" s="24"/>
      <c r="V620" s="25"/>
      <c r="W620" s="26"/>
      <c r="Y620" s="22"/>
    </row>
    <row r="621" ht="14.25" customHeight="1">
      <c r="R621" s="22"/>
      <c r="S621" s="23"/>
      <c r="T621" s="22"/>
      <c r="U621" s="24"/>
      <c r="V621" s="25"/>
      <c r="W621" s="26"/>
      <c r="Y621" s="22"/>
    </row>
    <row r="622" ht="14.25" customHeight="1">
      <c r="R622" s="22"/>
      <c r="S622" s="23"/>
      <c r="T622" s="22"/>
      <c r="U622" s="24"/>
      <c r="V622" s="25"/>
      <c r="W622" s="26"/>
      <c r="Y622" s="22"/>
    </row>
    <row r="623" ht="14.25" customHeight="1">
      <c r="R623" s="22"/>
      <c r="S623" s="23"/>
      <c r="T623" s="22"/>
      <c r="U623" s="24"/>
      <c r="V623" s="25"/>
      <c r="W623" s="26"/>
      <c r="Y623" s="22"/>
    </row>
    <row r="624" ht="14.25" customHeight="1">
      <c r="R624" s="22"/>
      <c r="S624" s="23"/>
      <c r="T624" s="22"/>
      <c r="U624" s="24"/>
      <c r="V624" s="25"/>
      <c r="W624" s="26"/>
      <c r="Y624" s="22"/>
    </row>
    <row r="625" ht="14.25" customHeight="1">
      <c r="R625" s="22"/>
      <c r="S625" s="23"/>
      <c r="T625" s="22"/>
      <c r="U625" s="24"/>
      <c r="V625" s="25"/>
      <c r="W625" s="26"/>
      <c r="Y625" s="22"/>
    </row>
    <row r="626" ht="14.25" customHeight="1">
      <c r="R626" s="22"/>
      <c r="S626" s="23"/>
      <c r="T626" s="22"/>
      <c r="U626" s="24"/>
      <c r="V626" s="25"/>
      <c r="W626" s="26"/>
      <c r="Y626" s="22"/>
    </row>
    <row r="627" ht="14.25" customHeight="1">
      <c r="R627" s="22"/>
      <c r="S627" s="23"/>
      <c r="T627" s="22"/>
      <c r="U627" s="24"/>
      <c r="V627" s="25"/>
      <c r="W627" s="26"/>
      <c r="Y627" s="22"/>
    </row>
    <row r="628" ht="14.25" customHeight="1">
      <c r="R628" s="22"/>
      <c r="S628" s="23"/>
      <c r="T628" s="22"/>
      <c r="U628" s="24"/>
      <c r="V628" s="25"/>
      <c r="W628" s="26"/>
      <c r="Y628" s="22"/>
    </row>
    <row r="629" ht="14.25" customHeight="1">
      <c r="R629" s="22"/>
      <c r="S629" s="23"/>
      <c r="T629" s="22"/>
      <c r="U629" s="24"/>
      <c r="V629" s="25"/>
      <c r="W629" s="26"/>
      <c r="Y629" s="22"/>
    </row>
    <row r="630" ht="14.25" customHeight="1">
      <c r="R630" s="22"/>
      <c r="S630" s="23"/>
      <c r="T630" s="22"/>
      <c r="U630" s="24"/>
      <c r="V630" s="25"/>
      <c r="W630" s="26"/>
      <c r="Y630" s="22"/>
    </row>
    <row r="631" ht="14.25" customHeight="1">
      <c r="R631" s="22"/>
      <c r="S631" s="23"/>
      <c r="T631" s="22"/>
      <c r="U631" s="24"/>
      <c r="V631" s="25"/>
      <c r="W631" s="26"/>
      <c r="Y631" s="22"/>
    </row>
    <row r="632" ht="14.25" customHeight="1">
      <c r="R632" s="22"/>
      <c r="S632" s="23"/>
      <c r="T632" s="22"/>
      <c r="U632" s="24"/>
      <c r="V632" s="25"/>
      <c r="W632" s="26"/>
      <c r="Y632" s="22"/>
    </row>
    <row r="633" ht="14.25" customHeight="1">
      <c r="R633" s="22"/>
      <c r="S633" s="23"/>
      <c r="T633" s="22"/>
      <c r="U633" s="24"/>
      <c r="V633" s="25"/>
      <c r="W633" s="26"/>
      <c r="Y633" s="22"/>
    </row>
    <row r="634" ht="14.25" customHeight="1">
      <c r="R634" s="22"/>
      <c r="S634" s="23"/>
      <c r="T634" s="22"/>
      <c r="U634" s="24"/>
      <c r="V634" s="25"/>
      <c r="W634" s="26"/>
      <c r="Y634" s="22"/>
    </row>
    <row r="635" ht="14.25" customHeight="1">
      <c r="R635" s="22"/>
      <c r="S635" s="23"/>
      <c r="T635" s="22"/>
      <c r="U635" s="24"/>
      <c r="V635" s="25"/>
      <c r="W635" s="26"/>
      <c r="Y635" s="22"/>
    </row>
    <row r="636" ht="14.25" customHeight="1">
      <c r="R636" s="22"/>
      <c r="S636" s="23"/>
      <c r="T636" s="22"/>
      <c r="U636" s="24"/>
      <c r="V636" s="25"/>
      <c r="W636" s="26"/>
      <c r="Y636" s="22"/>
    </row>
    <row r="637" ht="14.25" customHeight="1">
      <c r="R637" s="22"/>
      <c r="S637" s="23"/>
      <c r="T637" s="22"/>
      <c r="U637" s="24"/>
      <c r="V637" s="25"/>
      <c r="W637" s="26"/>
      <c r="Y637" s="22"/>
    </row>
    <row r="638" ht="14.25" customHeight="1">
      <c r="R638" s="22"/>
      <c r="S638" s="23"/>
      <c r="T638" s="22"/>
      <c r="U638" s="24"/>
      <c r="V638" s="25"/>
      <c r="W638" s="26"/>
      <c r="Y638" s="22"/>
    </row>
    <row r="639" ht="14.25" customHeight="1">
      <c r="R639" s="22"/>
      <c r="S639" s="23"/>
      <c r="T639" s="22"/>
      <c r="U639" s="24"/>
      <c r="V639" s="25"/>
      <c r="W639" s="26"/>
      <c r="Y639" s="22"/>
    </row>
    <row r="640" ht="14.25" customHeight="1">
      <c r="R640" s="22"/>
      <c r="S640" s="23"/>
      <c r="T640" s="22"/>
      <c r="U640" s="24"/>
      <c r="V640" s="25"/>
      <c r="W640" s="26"/>
      <c r="Y640" s="22"/>
    </row>
    <row r="641" ht="14.25" customHeight="1">
      <c r="R641" s="22"/>
      <c r="S641" s="23"/>
      <c r="T641" s="22"/>
      <c r="U641" s="24"/>
      <c r="V641" s="25"/>
      <c r="W641" s="26"/>
      <c r="Y641" s="22"/>
    </row>
    <row r="642" ht="14.25" customHeight="1">
      <c r="R642" s="22"/>
      <c r="S642" s="23"/>
      <c r="T642" s="22"/>
      <c r="U642" s="24"/>
      <c r="V642" s="25"/>
      <c r="W642" s="26"/>
      <c r="Y642" s="22"/>
    </row>
    <row r="643" ht="14.25" customHeight="1">
      <c r="R643" s="22"/>
      <c r="S643" s="23"/>
      <c r="T643" s="22"/>
      <c r="U643" s="24"/>
      <c r="V643" s="25"/>
      <c r="W643" s="26"/>
      <c r="Y643" s="22"/>
    </row>
    <row r="644" ht="14.25" customHeight="1">
      <c r="R644" s="22"/>
      <c r="S644" s="23"/>
      <c r="T644" s="22"/>
      <c r="U644" s="24"/>
      <c r="V644" s="25"/>
      <c r="W644" s="26"/>
      <c r="Y644" s="22"/>
    </row>
    <row r="645" ht="14.25" customHeight="1">
      <c r="R645" s="22"/>
      <c r="S645" s="23"/>
      <c r="T645" s="22"/>
      <c r="U645" s="24"/>
      <c r="V645" s="25"/>
      <c r="W645" s="26"/>
      <c r="Y645" s="22"/>
    </row>
    <row r="646" ht="14.25" customHeight="1">
      <c r="R646" s="22"/>
      <c r="S646" s="23"/>
      <c r="T646" s="22"/>
      <c r="U646" s="24"/>
      <c r="V646" s="25"/>
      <c r="W646" s="26"/>
      <c r="Y646" s="22"/>
    </row>
    <row r="647" ht="14.25" customHeight="1">
      <c r="R647" s="22"/>
      <c r="S647" s="23"/>
      <c r="T647" s="22"/>
      <c r="U647" s="24"/>
      <c r="V647" s="25"/>
      <c r="W647" s="26"/>
      <c r="Y647" s="22"/>
    </row>
    <row r="648" ht="14.25" customHeight="1">
      <c r="R648" s="22"/>
      <c r="S648" s="23"/>
      <c r="T648" s="22"/>
      <c r="U648" s="24"/>
      <c r="V648" s="25"/>
      <c r="W648" s="26"/>
      <c r="Y648" s="22"/>
    </row>
    <row r="649" ht="14.25" customHeight="1">
      <c r="R649" s="22"/>
      <c r="S649" s="23"/>
      <c r="T649" s="22"/>
      <c r="U649" s="24"/>
      <c r="V649" s="25"/>
      <c r="W649" s="26"/>
      <c r="Y649" s="22"/>
    </row>
    <row r="650" ht="14.25" customHeight="1">
      <c r="R650" s="22"/>
      <c r="S650" s="23"/>
      <c r="T650" s="22"/>
      <c r="U650" s="24"/>
      <c r="V650" s="25"/>
      <c r="W650" s="26"/>
      <c r="Y650" s="22"/>
    </row>
    <row r="651" ht="14.25" customHeight="1">
      <c r="R651" s="22"/>
      <c r="S651" s="23"/>
      <c r="T651" s="22"/>
      <c r="U651" s="24"/>
      <c r="V651" s="25"/>
      <c r="W651" s="26"/>
      <c r="Y651" s="22"/>
    </row>
    <row r="652" ht="14.25" customHeight="1">
      <c r="R652" s="22"/>
      <c r="S652" s="23"/>
      <c r="T652" s="22"/>
      <c r="U652" s="24"/>
      <c r="V652" s="25"/>
      <c r="W652" s="26"/>
      <c r="Y652" s="22"/>
    </row>
    <row r="653" ht="14.25" customHeight="1">
      <c r="R653" s="22"/>
      <c r="S653" s="23"/>
      <c r="T653" s="22"/>
      <c r="U653" s="24"/>
      <c r="V653" s="25"/>
      <c r="W653" s="26"/>
      <c r="Y653" s="22"/>
    </row>
    <row r="654" ht="14.25" customHeight="1">
      <c r="R654" s="22"/>
      <c r="S654" s="23"/>
      <c r="T654" s="22"/>
      <c r="U654" s="24"/>
      <c r="V654" s="25"/>
      <c r="W654" s="26"/>
      <c r="Y654" s="22"/>
    </row>
    <row r="655" ht="14.25" customHeight="1">
      <c r="R655" s="22"/>
      <c r="S655" s="23"/>
      <c r="T655" s="22"/>
      <c r="U655" s="24"/>
      <c r="V655" s="25"/>
      <c r="W655" s="26"/>
      <c r="Y655" s="22"/>
    </row>
    <row r="656" ht="14.25" customHeight="1">
      <c r="R656" s="22"/>
      <c r="S656" s="23"/>
      <c r="T656" s="22"/>
      <c r="U656" s="24"/>
      <c r="V656" s="25"/>
      <c r="W656" s="26"/>
      <c r="Y656" s="22"/>
    </row>
    <row r="657" ht="14.25" customHeight="1">
      <c r="R657" s="22"/>
      <c r="S657" s="23"/>
      <c r="T657" s="22"/>
      <c r="U657" s="24"/>
      <c r="V657" s="25"/>
      <c r="W657" s="26"/>
      <c r="Y657" s="22"/>
    </row>
    <row r="658" ht="14.25" customHeight="1">
      <c r="R658" s="22"/>
      <c r="S658" s="23"/>
      <c r="T658" s="22"/>
      <c r="U658" s="24"/>
      <c r="V658" s="25"/>
      <c r="W658" s="26"/>
      <c r="Y658" s="22"/>
    </row>
    <row r="659" ht="14.25" customHeight="1">
      <c r="R659" s="22"/>
      <c r="S659" s="23"/>
      <c r="T659" s="22"/>
      <c r="U659" s="24"/>
      <c r="V659" s="25"/>
      <c r="W659" s="26"/>
      <c r="Y659" s="22"/>
    </row>
    <row r="660" ht="14.25" customHeight="1">
      <c r="R660" s="22"/>
      <c r="S660" s="23"/>
      <c r="T660" s="22"/>
      <c r="U660" s="24"/>
      <c r="V660" s="25"/>
      <c r="W660" s="26"/>
      <c r="Y660" s="22"/>
    </row>
    <row r="661" ht="14.25" customHeight="1">
      <c r="R661" s="22"/>
      <c r="S661" s="23"/>
      <c r="T661" s="22"/>
      <c r="U661" s="24"/>
      <c r="V661" s="25"/>
      <c r="W661" s="26"/>
      <c r="Y661" s="22"/>
    </row>
    <row r="662" ht="14.25" customHeight="1">
      <c r="R662" s="22"/>
      <c r="S662" s="23"/>
      <c r="T662" s="22"/>
      <c r="U662" s="24"/>
      <c r="V662" s="25"/>
      <c r="W662" s="26"/>
      <c r="Y662" s="22"/>
    </row>
    <row r="663" ht="14.25" customHeight="1">
      <c r="R663" s="22"/>
      <c r="S663" s="23"/>
      <c r="T663" s="22"/>
      <c r="U663" s="24"/>
      <c r="V663" s="25"/>
      <c r="W663" s="26"/>
      <c r="Y663" s="22"/>
    </row>
    <row r="664" ht="14.25" customHeight="1">
      <c r="R664" s="22"/>
      <c r="S664" s="23"/>
      <c r="T664" s="22"/>
      <c r="U664" s="24"/>
      <c r="V664" s="25"/>
      <c r="W664" s="26"/>
      <c r="Y664" s="22"/>
    </row>
    <row r="665" ht="14.25" customHeight="1">
      <c r="R665" s="22"/>
      <c r="S665" s="23"/>
      <c r="T665" s="22"/>
      <c r="U665" s="24"/>
      <c r="V665" s="25"/>
      <c r="W665" s="26"/>
      <c r="Y665" s="22"/>
    </row>
    <row r="666" ht="14.25" customHeight="1">
      <c r="R666" s="22"/>
      <c r="S666" s="23"/>
      <c r="T666" s="22"/>
      <c r="U666" s="24"/>
      <c r="V666" s="25"/>
      <c r="W666" s="26"/>
      <c r="Y666" s="22"/>
    </row>
    <row r="667" ht="14.25" customHeight="1">
      <c r="R667" s="22"/>
      <c r="S667" s="23"/>
      <c r="T667" s="22"/>
      <c r="U667" s="24"/>
      <c r="V667" s="25"/>
      <c r="W667" s="26"/>
      <c r="Y667" s="22"/>
    </row>
    <row r="668" ht="14.25" customHeight="1">
      <c r="R668" s="22"/>
      <c r="S668" s="23"/>
      <c r="T668" s="22"/>
      <c r="U668" s="24"/>
      <c r="V668" s="25"/>
      <c r="W668" s="26"/>
      <c r="Y668" s="22"/>
    </row>
    <row r="669" ht="14.25" customHeight="1">
      <c r="R669" s="22"/>
      <c r="S669" s="23"/>
      <c r="T669" s="22"/>
      <c r="U669" s="24"/>
      <c r="V669" s="25"/>
      <c r="W669" s="26"/>
      <c r="Y669" s="22"/>
    </row>
    <row r="670" ht="14.25" customHeight="1">
      <c r="R670" s="22"/>
      <c r="S670" s="23"/>
      <c r="T670" s="22"/>
      <c r="U670" s="24"/>
      <c r="V670" s="25"/>
      <c r="W670" s="26"/>
      <c r="Y670" s="22"/>
    </row>
    <row r="671" ht="14.25" customHeight="1">
      <c r="R671" s="22"/>
      <c r="S671" s="23"/>
      <c r="T671" s="22"/>
      <c r="U671" s="24"/>
      <c r="V671" s="25"/>
      <c r="W671" s="26"/>
      <c r="Y671" s="22"/>
    </row>
    <row r="672" ht="14.25" customHeight="1">
      <c r="R672" s="22"/>
      <c r="S672" s="23"/>
      <c r="T672" s="22"/>
      <c r="U672" s="24"/>
      <c r="V672" s="25"/>
      <c r="W672" s="26"/>
      <c r="Y672" s="22"/>
    </row>
    <row r="673" ht="14.25" customHeight="1">
      <c r="R673" s="22"/>
      <c r="S673" s="23"/>
      <c r="T673" s="22"/>
      <c r="U673" s="24"/>
      <c r="V673" s="25"/>
      <c r="W673" s="26"/>
      <c r="Y673" s="22"/>
    </row>
    <row r="674" ht="14.25" customHeight="1">
      <c r="R674" s="22"/>
      <c r="S674" s="23"/>
      <c r="T674" s="22"/>
      <c r="U674" s="24"/>
      <c r="V674" s="25"/>
      <c r="W674" s="26"/>
      <c r="Y674" s="22"/>
    </row>
    <row r="675" ht="14.25" customHeight="1">
      <c r="R675" s="22"/>
      <c r="S675" s="23"/>
      <c r="T675" s="22"/>
      <c r="U675" s="24"/>
      <c r="V675" s="25"/>
      <c r="W675" s="26"/>
      <c r="Y675" s="22"/>
    </row>
    <row r="676" ht="14.25" customHeight="1">
      <c r="R676" s="22"/>
      <c r="S676" s="23"/>
      <c r="T676" s="22"/>
      <c r="U676" s="24"/>
      <c r="V676" s="25"/>
      <c r="W676" s="26"/>
      <c r="Y676" s="22"/>
    </row>
    <row r="677" ht="14.25" customHeight="1">
      <c r="R677" s="22"/>
      <c r="S677" s="23"/>
      <c r="T677" s="22"/>
      <c r="U677" s="24"/>
      <c r="V677" s="25"/>
      <c r="W677" s="26"/>
      <c r="Y677" s="22"/>
    </row>
    <row r="678" ht="14.25" customHeight="1">
      <c r="R678" s="22"/>
      <c r="S678" s="23"/>
      <c r="T678" s="22"/>
      <c r="U678" s="24"/>
      <c r="V678" s="25"/>
      <c r="W678" s="26"/>
      <c r="Y678" s="22"/>
    </row>
    <row r="679" ht="14.25" customHeight="1">
      <c r="R679" s="22"/>
      <c r="S679" s="23"/>
      <c r="T679" s="22"/>
      <c r="U679" s="24"/>
      <c r="V679" s="25"/>
      <c r="W679" s="26"/>
      <c r="Y679" s="22"/>
    </row>
    <row r="680" ht="14.25" customHeight="1">
      <c r="R680" s="22"/>
      <c r="S680" s="23"/>
      <c r="T680" s="22"/>
      <c r="U680" s="24"/>
      <c r="V680" s="25"/>
      <c r="W680" s="26"/>
      <c r="Y680" s="22"/>
    </row>
    <row r="681" ht="14.25" customHeight="1">
      <c r="R681" s="22"/>
      <c r="S681" s="23"/>
      <c r="T681" s="22"/>
      <c r="U681" s="24"/>
      <c r="V681" s="25"/>
      <c r="W681" s="26"/>
      <c r="Y681" s="22"/>
    </row>
    <row r="682" ht="14.25" customHeight="1">
      <c r="R682" s="22"/>
      <c r="S682" s="23"/>
      <c r="T682" s="22"/>
      <c r="U682" s="24"/>
      <c r="V682" s="25"/>
      <c r="W682" s="26"/>
      <c r="Y682" s="22"/>
    </row>
    <row r="683" ht="14.25" customHeight="1">
      <c r="R683" s="22"/>
      <c r="S683" s="23"/>
      <c r="T683" s="22"/>
      <c r="U683" s="24"/>
      <c r="V683" s="25"/>
      <c r="W683" s="26"/>
      <c r="Y683" s="22"/>
    </row>
    <row r="684" ht="14.25" customHeight="1">
      <c r="R684" s="22"/>
      <c r="S684" s="23"/>
      <c r="T684" s="22"/>
      <c r="U684" s="24"/>
      <c r="V684" s="25"/>
      <c r="W684" s="26"/>
      <c r="Y684" s="22"/>
    </row>
    <row r="685" ht="14.25" customHeight="1">
      <c r="R685" s="22"/>
      <c r="S685" s="23"/>
      <c r="T685" s="22"/>
      <c r="U685" s="24"/>
      <c r="V685" s="25"/>
      <c r="W685" s="26"/>
      <c r="Y685" s="22"/>
    </row>
    <row r="686" ht="14.25" customHeight="1">
      <c r="R686" s="22"/>
      <c r="S686" s="23"/>
      <c r="T686" s="22"/>
      <c r="U686" s="24"/>
      <c r="V686" s="25"/>
      <c r="W686" s="26"/>
      <c r="Y686" s="22"/>
    </row>
    <row r="687" ht="14.25" customHeight="1">
      <c r="R687" s="22"/>
      <c r="S687" s="23"/>
      <c r="T687" s="22"/>
      <c r="U687" s="24"/>
      <c r="V687" s="25"/>
      <c r="W687" s="26"/>
      <c r="Y687" s="22"/>
    </row>
    <row r="688" ht="14.25" customHeight="1">
      <c r="R688" s="22"/>
      <c r="S688" s="23"/>
      <c r="T688" s="22"/>
      <c r="U688" s="24"/>
      <c r="V688" s="25"/>
      <c r="W688" s="26"/>
      <c r="Y688" s="22"/>
    </row>
    <row r="689" ht="14.25" customHeight="1">
      <c r="R689" s="22"/>
      <c r="S689" s="23"/>
      <c r="T689" s="22"/>
      <c r="U689" s="24"/>
      <c r="V689" s="25"/>
      <c r="W689" s="26"/>
      <c r="Y689" s="22"/>
    </row>
    <row r="690" ht="14.25" customHeight="1">
      <c r="R690" s="22"/>
      <c r="S690" s="23"/>
      <c r="T690" s="22"/>
      <c r="U690" s="24"/>
      <c r="V690" s="25"/>
      <c r="W690" s="26"/>
      <c r="Y690" s="22"/>
    </row>
    <row r="691" ht="14.25" customHeight="1">
      <c r="R691" s="22"/>
      <c r="S691" s="23"/>
      <c r="T691" s="22"/>
      <c r="U691" s="24"/>
      <c r="V691" s="25"/>
      <c r="W691" s="26"/>
      <c r="Y691" s="22"/>
    </row>
    <row r="692" ht="14.25" customHeight="1">
      <c r="R692" s="22"/>
      <c r="S692" s="23"/>
      <c r="T692" s="22"/>
      <c r="U692" s="24"/>
      <c r="V692" s="25"/>
      <c r="W692" s="26"/>
      <c r="Y692" s="22"/>
    </row>
    <row r="693" ht="14.25" customHeight="1">
      <c r="R693" s="22"/>
      <c r="S693" s="23"/>
      <c r="T693" s="22"/>
      <c r="U693" s="24"/>
      <c r="V693" s="25"/>
      <c r="W693" s="26"/>
      <c r="Y693" s="22"/>
    </row>
    <row r="694" ht="14.25" customHeight="1">
      <c r="R694" s="22"/>
      <c r="S694" s="23"/>
      <c r="T694" s="22"/>
      <c r="U694" s="24"/>
      <c r="V694" s="25"/>
      <c r="W694" s="26"/>
      <c r="Y694" s="22"/>
    </row>
    <row r="695" ht="14.25" customHeight="1">
      <c r="R695" s="22"/>
      <c r="S695" s="23"/>
      <c r="T695" s="22"/>
      <c r="U695" s="24"/>
      <c r="V695" s="25"/>
      <c r="W695" s="26"/>
      <c r="Y695" s="22"/>
    </row>
    <row r="696" ht="14.25" customHeight="1">
      <c r="R696" s="22"/>
      <c r="S696" s="23"/>
      <c r="T696" s="22"/>
      <c r="U696" s="24"/>
      <c r="V696" s="25"/>
      <c r="W696" s="26"/>
      <c r="Y696" s="22"/>
    </row>
    <row r="697" ht="14.25" customHeight="1">
      <c r="R697" s="22"/>
      <c r="S697" s="23"/>
      <c r="T697" s="22"/>
      <c r="U697" s="24"/>
      <c r="V697" s="25"/>
      <c r="W697" s="26"/>
      <c r="Y697" s="22"/>
    </row>
    <row r="698" ht="14.25" customHeight="1">
      <c r="R698" s="22"/>
      <c r="S698" s="23"/>
      <c r="T698" s="22"/>
      <c r="U698" s="24"/>
      <c r="V698" s="25"/>
      <c r="W698" s="26"/>
      <c r="Y698" s="22"/>
    </row>
    <row r="699" ht="14.25" customHeight="1">
      <c r="R699" s="22"/>
      <c r="S699" s="23"/>
      <c r="T699" s="22"/>
      <c r="U699" s="24"/>
      <c r="V699" s="25"/>
      <c r="W699" s="26"/>
      <c r="Y699" s="22"/>
    </row>
    <row r="700" ht="14.25" customHeight="1">
      <c r="R700" s="22"/>
      <c r="S700" s="23"/>
      <c r="T700" s="22"/>
      <c r="U700" s="24"/>
      <c r="V700" s="25"/>
      <c r="W700" s="26"/>
      <c r="Y700" s="22"/>
    </row>
    <row r="701" ht="14.25" customHeight="1">
      <c r="R701" s="22"/>
      <c r="S701" s="23"/>
      <c r="T701" s="22"/>
      <c r="U701" s="24"/>
      <c r="V701" s="25"/>
      <c r="W701" s="26"/>
      <c r="Y701" s="22"/>
    </row>
    <row r="702" ht="14.25" customHeight="1">
      <c r="R702" s="22"/>
      <c r="S702" s="23"/>
      <c r="T702" s="22"/>
      <c r="U702" s="24"/>
      <c r="V702" s="25"/>
      <c r="W702" s="26"/>
      <c r="Y702" s="22"/>
    </row>
    <row r="703" ht="14.25" customHeight="1">
      <c r="R703" s="22"/>
      <c r="S703" s="23"/>
      <c r="T703" s="22"/>
      <c r="U703" s="24"/>
      <c r="V703" s="25"/>
      <c r="W703" s="26"/>
      <c r="Y703" s="22"/>
    </row>
    <row r="704" ht="14.25" customHeight="1">
      <c r="R704" s="22"/>
      <c r="S704" s="23"/>
      <c r="T704" s="22"/>
      <c r="U704" s="24"/>
      <c r="V704" s="25"/>
      <c r="W704" s="26"/>
      <c r="Y704" s="22"/>
    </row>
    <row r="705" ht="14.25" customHeight="1">
      <c r="R705" s="22"/>
      <c r="S705" s="23"/>
      <c r="T705" s="22"/>
      <c r="U705" s="24"/>
      <c r="V705" s="25"/>
      <c r="W705" s="26"/>
      <c r="Y705" s="22"/>
    </row>
    <row r="706" ht="14.25" customHeight="1">
      <c r="R706" s="22"/>
      <c r="S706" s="23"/>
      <c r="T706" s="22"/>
      <c r="U706" s="24"/>
      <c r="V706" s="25"/>
      <c r="W706" s="26"/>
      <c r="Y706" s="22"/>
    </row>
    <row r="707" ht="14.25" customHeight="1">
      <c r="R707" s="22"/>
      <c r="S707" s="23"/>
      <c r="T707" s="22"/>
      <c r="U707" s="24"/>
      <c r="V707" s="25"/>
      <c r="W707" s="26"/>
      <c r="Y707" s="22"/>
    </row>
    <row r="708" ht="14.25" customHeight="1">
      <c r="R708" s="22"/>
      <c r="S708" s="23"/>
      <c r="T708" s="22"/>
      <c r="U708" s="24"/>
      <c r="V708" s="25"/>
      <c r="W708" s="26"/>
      <c r="Y708" s="22"/>
    </row>
    <row r="709" ht="14.25" customHeight="1">
      <c r="R709" s="22"/>
      <c r="S709" s="23"/>
      <c r="T709" s="22"/>
      <c r="U709" s="24"/>
      <c r="V709" s="25"/>
      <c r="W709" s="26"/>
      <c r="Y709" s="22"/>
    </row>
    <row r="710" ht="14.25" customHeight="1">
      <c r="R710" s="22"/>
      <c r="S710" s="23"/>
      <c r="T710" s="22"/>
      <c r="U710" s="24"/>
      <c r="V710" s="25"/>
      <c r="W710" s="26"/>
      <c r="Y710" s="22"/>
    </row>
    <row r="711" ht="14.25" customHeight="1">
      <c r="R711" s="22"/>
      <c r="S711" s="23"/>
      <c r="T711" s="22"/>
      <c r="U711" s="24"/>
      <c r="V711" s="25"/>
      <c r="W711" s="26"/>
      <c r="Y711" s="22"/>
    </row>
    <row r="712" ht="14.25" customHeight="1">
      <c r="R712" s="22"/>
      <c r="S712" s="23"/>
      <c r="T712" s="22"/>
      <c r="U712" s="24"/>
      <c r="V712" s="25"/>
      <c r="W712" s="26"/>
      <c r="Y712" s="22"/>
    </row>
    <row r="713" ht="14.25" customHeight="1">
      <c r="R713" s="22"/>
      <c r="S713" s="23"/>
      <c r="T713" s="22"/>
      <c r="U713" s="24"/>
      <c r="V713" s="25"/>
      <c r="W713" s="26"/>
      <c r="Y713" s="22"/>
    </row>
    <row r="714" ht="14.25" customHeight="1">
      <c r="R714" s="22"/>
      <c r="S714" s="23"/>
      <c r="T714" s="22"/>
      <c r="U714" s="24"/>
      <c r="V714" s="25"/>
      <c r="W714" s="26"/>
      <c r="Y714" s="22"/>
    </row>
    <row r="715" ht="14.25" customHeight="1">
      <c r="R715" s="22"/>
      <c r="S715" s="23"/>
      <c r="T715" s="22"/>
      <c r="U715" s="24"/>
      <c r="V715" s="25"/>
      <c r="W715" s="26"/>
      <c r="Y715" s="22"/>
    </row>
    <row r="716" ht="14.25" customHeight="1">
      <c r="R716" s="22"/>
      <c r="S716" s="23"/>
      <c r="T716" s="22"/>
      <c r="U716" s="24"/>
      <c r="V716" s="25"/>
      <c r="W716" s="26"/>
      <c r="Y716" s="22"/>
    </row>
    <row r="717" ht="14.25" customHeight="1">
      <c r="R717" s="22"/>
      <c r="S717" s="23"/>
      <c r="T717" s="22"/>
      <c r="U717" s="24"/>
      <c r="V717" s="25"/>
      <c r="W717" s="26"/>
      <c r="Y717" s="22"/>
    </row>
    <row r="718" ht="14.25" customHeight="1">
      <c r="R718" s="22"/>
      <c r="S718" s="23"/>
      <c r="T718" s="22"/>
      <c r="U718" s="24"/>
      <c r="V718" s="25"/>
      <c r="W718" s="26"/>
      <c r="Y718" s="22"/>
    </row>
    <row r="719" ht="14.25" customHeight="1">
      <c r="R719" s="22"/>
      <c r="S719" s="23"/>
      <c r="T719" s="22"/>
      <c r="U719" s="24"/>
      <c r="V719" s="25"/>
      <c r="W719" s="26"/>
      <c r="Y719" s="22"/>
    </row>
    <row r="720" ht="14.25" customHeight="1">
      <c r="R720" s="22"/>
      <c r="S720" s="23"/>
      <c r="T720" s="22"/>
      <c r="U720" s="24"/>
      <c r="V720" s="25"/>
      <c r="W720" s="26"/>
      <c r="Y720" s="22"/>
    </row>
    <row r="721" ht="14.25" customHeight="1">
      <c r="R721" s="22"/>
      <c r="S721" s="23"/>
      <c r="T721" s="22"/>
      <c r="U721" s="24"/>
      <c r="V721" s="25"/>
      <c r="W721" s="26"/>
      <c r="Y721" s="22"/>
    </row>
    <row r="722" ht="14.25" customHeight="1">
      <c r="R722" s="22"/>
      <c r="S722" s="23"/>
      <c r="T722" s="22"/>
      <c r="U722" s="24"/>
      <c r="V722" s="25"/>
      <c r="W722" s="26"/>
      <c r="Y722" s="22"/>
    </row>
    <row r="723" ht="14.25" customHeight="1">
      <c r="R723" s="22"/>
      <c r="S723" s="23"/>
      <c r="T723" s="22"/>
      <c r="U723" s="24"/>
      <c r="V723" s="25"/>
      <c r="W723" s="26"/>
      <c r="Y723" s="22"/>
    </row>
    <row r="724" ht="14.25" customHeight="1">
      <c r="R724" s="22"/>
      <c r="S724" s="23"/>
      <c r="T724" s="22"/>
      <c r="U724" s="24"/>
      <c r="V724" s="25"/>
      <c r="W724" s="26"/>
      <c r="Y724" s="22"/>
    </row>
    <row r="725" ht="14.25" customHeight="1">
      <c r="R725" s="22"/>
      <c r="S725" s="23"/>
      <c r="T725" s="22"/>
      <c r="U725" s="24"/>
      <c r="V725" s="25"/>
      <c r="W725" s="26"/>
      <c r="Y725" s="22"/>
    </row>
    <row r="726" ht="14.25" customHeight="1">
      <c r="R726" s="22"/>
      <c r="S726" s="23"/>
      <c r="T726" s="22"/>
      <c r="U726" s="24"/>
      <c r="V726" s="25"/>
      <c r="W726" s="26"/>
      <c r="Y726" s="22"/>
    </row>
    <row r="727" ht="14.25" customHeight="1">
      <c r="R727" s="22"/>
      <c r="S727" s="23"/>
      <c r="T727" s="22"/>
      <c r="U727" s="24"/>
      <c r="V727" s="25"/>
      <c r="W727" s="26"/>
      <c r="Y727" s="22"/>
    </row>
    <row r="728" ht="14.25" customHeight="1">
      <c r="R728" s="22"/>
      <c r="S728" s="23"/>
      <c r="T728" s="22"/>
      <c r="U728" s="24"/>
      <c r="V728" s="25"/>
      <c r="W728" s="26"/>
      <c r="Y728" s="22"/>
    </row>
    <row r="729" ht="14.25" customHeight="1">
      <c r="R729" s="22"/>
      <c r="S729" s="23"/>
      <c r="T729" s="22"/>
      <c r="U729" s="24"/>
      <c r="V729" s="25"/>
      <c r="W729" s="26"/>
      <c r="Y729" s="22"/>
    </row>
    <row r="730" ht="14.25" customHeight="1">
      <c r="R730" s="22"/>
      <c r="S730" s="23"/>
      <c r="T730" s="22"/>
      <c r="U730" s="24"/>
      <c r="V730" s="25"/>
      <c r="W730" s="26"/>
      <c r="Y730" s="22"/>
    </row>
    <row r="731" ht="14.25" customHeight="1">
      <c r="R731" s="22"/>
      <c r="S731" s="23"/>
      <c r="T731" s="22"/>
      <c r="U731" s="24"/>
      <c r="V731" s="25"/>
      <c r="W731" s="26"/>
      <c r="Y731" s="22"/>
    </row>
    <row r="732" ht="14.25" customHeight="1">
      <c r="R732" s="22"/>
      <c r="S732" s="23"/>
      <c r="T732" s="22"/>
      <c r="U732" s="24"/>
      <c r="V732" s="25"/>
      <c r="W732" s="26"/>
      <c r="Y732" s="22"/>
    </row>
    <row r="733" ht="14.25" customHeight="1">
      <c r="R733" s="22"/>
      <c r="S733" s="23"/>
      <c r="T733" s="22"/>
      <c r="U733" s="24"/>
      <c r="V733" s="25"/>
      <c r="W733" s="26"/>
      <c r="Y733" s="22"/>
    </row>
    <row r="734" ht="14.25" customHeight="1">
      <c r="R734" s="22"/>
      <c r="S734" s="23"/>
      <c r="T734" s="22"/>
      <c r="U734" s="24"/>
      <c r="V734" s="25"/>
      <c r="W734" s="26"/>
      <c r="Y734" s="22"/>
    </row>
    <row r="735" ht="14.25" customHeight="1">
      <c r="R735" s="22"/>
      <c r="S735" s="23"/>
      <c r="T735" s="22"/>
      <c r="U735" s="24"/>
      <c r="V735" s="25"/>
      <c r="W735" s="26"/>
      <c r="Y735" s="22"/>
    </row>
    <row r="736" ht="14.25" customHeight="1">
      <c r="R736" s="22"/>
      <c r="S736" s="23"/>
      <c r="T736" s="22"/>
      <c r="U736" s="24"/>
      <c r="V736" s="25"/>
      <c r="W736" s="26"/>
      <c r="Y736" s="22"/>
    </row>
    <row r="737" ht="14.25" customHeight="1">
      <c r="R737" s="22"/>
      <c r="S737" s="23"/>
      <c r="T737" s="22"/>
      <c r="U737" s="24"/>
      <c r="V737" s="25"/>
      <c r="W737" s="26"/>
      <c r="Y737" s="22"/>
    </row>
    <row r="738" ht="14.25" customHeight="1">
      <c r="R738" s="22"/>
      <c r="S738" s="23"/>
      <c r="T738" s="22"/>
      <c r="U738" s="24"/>
      <c r="V738" s="25"/>
      <c r="W738" s="26"/>
      <c r="Y738" s="22"/>
    </row>
    <row r="739" ht="14.25" customHeight="1">
      <c r="R739" s="22"/>
      <c r="S739" s="23"/>
      <c r="T739" s="22"/>
      <c r="U739" s="24"/>
      <c r="V739" s="25"/>
      <c r="W739" s="26"/>
      <c r="Y739" s="22"/>
    </row>
    <row r="740" ht="14.25" customHeight="1">
      <c r="R740" s="22"/>
      <c r="S740" s="23"/>
      <c r="T740" s="22"/>
      <c r="U740" s="24"/>
      <c r="V740" s="25"/>
      <c r="W740" s="26"/>
      <c r="Y740" s="22"/>
    </row>
    <row r="741" ht="14.25" customHeight="1">
      <c r="R741" s="22"/>
      <c r="S741" s="23"/>
      <c r="T741" s="22"/>
      <c r="U741" s="24"/>
      <c r="V741" s="25"/>
      <c r="W741" s="26"/>
      <c r="Y741" s="22"/>
    </row>
    <row r="742" ht="14.25" customHeight="1">
      <c r="R742" s="22"/>
      <c r="S742" s="23"/>
      <c r="T742" s="22"/>
      <c r="U742" s="24"/>
      <c r="V742" s="25"/>
      <c r="W742" s="26"/>
      <c r="Y742" s="22"/>
    </row>
    <row r="743" ht="14.25" customHeight="1">
      <c r="R743" s="22"/>
      <c r="S743" s="23"/>
      <c r="T743" s="22"/>
      <c r="U743" s="24"/>
      <c r="V743" s="25"/>
      <c r="W743" s="26"/>
      <c r="Y743" s="22"/>
    </row>
    <row r="744" ht="14.25" customHeight="1">
      <c r="R744" s="22"/>
      <c r="S744" s="23"/>
      <c r="T744" s="22"/>
      <c r="U744" s="24"/>
      <c r="V744" s="25"/>
      <c r="W744" s="26"/>
      <c r="Y744" s="22"/>
    </row>
    <row r="745" ht="14.25" customHeight="1">
      <c r="R745" s="22"/>
      <c r="S745" s="23"/>
      <c r="T745" s="22"/>
      <c r="U745" s="24"/>
      <c r="V745" s="25"/>
      <c r="W745" s="26"/>
      <c r="Y745" s="22"/>
    </row>
    <row r="746" ht="14.25" customHeight="1">
      <c r="R746" s="22"/>
      <c r="S746" s="23"/>
      <c r="T746" s="22"/>
      <c r="U746" s="24"/>
      <c r="V746" s="25"/>
      <c r="W746" s="26"/>
      <c r="Y746" s="22"/>
    </row>
    <row r="747" ht="14.25" customHeight="1">
      <c r="R747" s="22"/>
      <c r="S747" s="23"/>
      <c r="T747" s="22"/>
      <c r="U747" s="24"/>
      <c r="V747" s="25"/>
      <c r="W747" s="26"/>
      <c r="Y747" s="22"/>
    </row>
    <row r="748" ht="14.25" customHeight="1">
      <c r="R748" s="22"/>
      <c r="S748" s="23"/>
      <c r="T748" s="22"/>
      <c r="U748" s="24"/>
      <c r="V748" s="25"/>
      <c r="W748" s="26"/>
      <c r="Y748" s="22"/>
    </row>
    <row r="749" ht="14.25" customHeight="1">
      <c r="R749" s="22"/>
      <c r="S749" s="23"/>
      <c r="T749" s="22"/>
      <c r="U749" s="24"/>
      <c r="V749" s="25"/>
      <c r="W749" s="26"/>
      <c r="Y749" s="22"/>
    </row>
    <row r="750" ht="14.25" customHeight="1">
      <c r="R750" s="22"/>
      <c r="S750" s="23"/>
      <c r="T750" s="22"/>
      <c r="U750" s="24"/>
      <c r="V750" s="25"/>
      <c r="W750" s="26"/>
      <c r="Y750" s="22"/>
    </row>
    <row r="751" ht="14.25" customHeight="1">
      <c r="R751" s="22"/>
      <c r="S751" s="23"/>
      <c r="T751" s="22"/>
      <c r="U751" s="24"/>
      <c r="V751" s="25"/>
      <c r="W751" s="26"/>
      <c r="Y751" s="22"/>
    </row>
    <row r="752" ht="14.25" customHeight="1">
      <c r="R752" s="22"/>
      <c r="S752" s="23"/>
      <c r="T752" s="22"/>
      <c r="U752" s="24"/>
      <c r="V752" s="25"/>
      <c r="W752" s="26"/>
      <c r="Y752" s="22"/>
    </row>
    <row r="753" ht="14.25" customHeight="1">
      <c r="R753" s="22"/>
      <c r="S753" s="23"/>
      <c r="T753" s="22"/>
      <c r="U753" s="24"/>
      <c r="V753" s="25"/>
      <c r="W753" s="26"/>
      <c r="Y753" s="22"/>
    </row>
    <row r="754" ht="14.25" customHeight="1">
      <c r="R754" s="22"/>
      <c r="S754" s="23"/>
      <c r="T754" s="22"/>
      <c r="U754" s="24"/>
      <c r="V754" s="25"/>
      <c r="W754" s="26"/>
      <c r="Y754" s="22"/>
    </row>
    <row r="755" ht="14.25" customHeight="1">
      <c r="R755" s="22"/>
      <c r="S755" s="23"/>
      <c r="T755" s="22"/>
      <c r="U755" s="24"/>
      <c r="V755" s="25"/>
      <c r="W755" s="26"/>
      <c r="Y755" s="22"/>
    </row>
    <row r="756" ht="14.25" customHeight="1">
      <c r="R756" s="22"/>
      <c r="S756" s="23"/>
      <c r="T756" s="22"/>
      <c r="U756" s="24"/>
      <c r="V756" s="25"/>
      <c r="W756" s="26"/>
      <c r="Y756" s="22"/>
    </row>
    <row r="757" ht="14.25" customHeight="1">
      <c r="R757" s="22"/>
      <c r="S757" s="23"/>
      <c r="T757" s="22"/>
      <c r="U757" s="24"/>
      <c r="V757" s="25"/>
      <c r="W757" s="26"/>
      <c r="Y757" s="22"/>
    </row>
    <row r="758" ht="14.25" customHeight="1">
      <c r="R758" s="22"/>
      <c r="S758" s="23"/>
      <c r="T758" s="22"/>
      <c r="U758" s="24"/>
      <c r="V758" s="25"/>
      <c r="W758" s="26"/>
      <c r="Y758" s="22"/>
    </row>
    <row r="759" ht="14.25" customHeight="1">
      <c r="R759" s="22"/>
      <c r="S759" s="23"/>
      <c r="T759" s="22"/>
      <c r="U759" s="24"/>
      <c r="V759" s="25"/>
      <c r="W759" s="26"/>
      <c r="Y759" s="22"/>
    </row>
    <row r="760" ht="14.25" customHeight="1">
      <c r="R760" s="22"/>
      <c r="S760" s="23"/>
      <c r="T760" s="22"/>
      <c r="U760" s="24"/>
      <c r="V760" s="25"/>
      <c r="W760" s="26"/>
      <c r="Y760" s="22"/>
    </row>
    <row r="761" ht="14.25" customHeight="1">
      <c r="R761" s="22"/>
      <c r="S761" s="23"/>
      <c r="T761" s="22"/>
      <c r="U761" s="24"/>
      <c r="V761" s="25"/>
      <c r="W761" s="26"/>
      <c r="Y761" s="22"/>
    </row>
    <row r="762" ht="14.25" customHeight="1">
      <c r="R762" s="22"/>
      <c r="S762" s="23"/>
      <c r="T762" s="22"/>
      <c r="U762" s="24"/>
      <c r="V762" s="25"/>
      <c r="W762" s="26"/>
      <c r="Y762" s="22"/>
    </row>
    <row r="763" ht="14.25" customHeight="1">
      <c r="R763" s="22"/>
      <c r="S763" s="23"/>
      <c r="T763" s="22"/>
      <c r="U763" s="24"/>
      <c r="V763" s="25"/>
      <c r="W763" s="26"/>
      <c r="Y763" s="22"/>
    </row>
    <row r="764" ht="14.25" customHeight="1">
      <c r="R764" s="22"/>
      <c r="S764" s="23"/>
      <c r="T764" s="22"/>
      <c r="U764" s="24"/>
      <c r="V764" s="25"/>
      <c r="W764" s="26"/>
      <c r="Y764" s="22"/>
    </row>
    <row r="765" ht="14.25" customHeight="1">
      <c r="R765" s="22"/>
      <c r="S765" s="23"/>
      <c r="T765" s="22"/>
      <c r="U765" s="24"/>
      <c r="V765" s="25"/>
      <c r="W765" s="26"/>
      <c r="Y765" s="22"/>
    </row>
    <row r="766" ht="14.25" customHeight="1">
      <c r="R766" s="22"/>
      <c r="S766" s="23"/>
      <c r="T766" s="22"/>
      <c r="U766" s="24"/>
      <c r="V766" s="25"/>
      <c r="W766" s="26"/>
      <c r="Y766" s="22"/>
    </row>
    <row r="767" ht="14.25" customHeight="1">
      <c r="R767" s="22"/>
      <c r="S767" s="23"/>
      <c r="T767" s="22"/>
      <c r="U767" s="24"/>
      <c r="V767" s="25"/>
      <c r="W767" s="26"/>
      <c r="Y767" s="22"/>
    </row>
    <row r="768" ht="14.25" customHeight="1">
      <c r="R768" s="22"/>
      <c r="S768" s="23"/>
      <c r="T768" s="22"/>
      <c r="U768" s="24"/>
      <c r="V768" s="25"/>
      <c r="W768" s="26"/>
      <c r="Y768" s="22"/>
    </row>
    <row r="769" ht="14.25" customHeight="1">
      <c r="R769" s="22"/>
      <c r="S769" s="23"/>
      <c r="T769" s="22"/>
      <c r="U769" s="24"/>
      <c r="V769" s="25"/>
      <c r="W769" s="26"/>
      <c r="Y769" s="22"/>
    </row>
    <row r="770" ht="14.25" customHeight="1">
      <c r="R770" s="22"/>
      <c r="S770" s="23"/>
      <c r="T770" s="22"/>
      <c r="U770" s="24"/>
      <c r="V770" s="25"/>
      <c r="W770" s="26"/>
      <c r="Y770" s="22"/>
    </row>
    <row r="771" ht="14.25" customHeight="1">
      <c r="R771" s="22"/>
      <c r="S771" s="23"/>
      <c r="T771" s="22"/>
      <c r="U771" s="24"/>
      <c r="V771" s="25"/>
      <c r="W771" s="26"/>
      <c r="Y771" s="22"/>
    </row>
    <row r="772" ht="14.25" customHeight="1">
      <c r="R772" s="22"/>
      <c r="S772" s="23"/>
      <c r="T772" s="22"/>
      <c r="U772" s="24"/>
      <c r="V772" s="25"/>
      <c r="W772" s="26"/>
      <c r="Y772" s="22"/>
    </row>
    <row r="773" ht="14.25" customHeight="1">
      <c r="R773" s="22"/>
      <c r="S773" s="23"/>
      <c r="T773" s="22"/>
      <c r="U773" s="24"/>
      <c r="V773" s="25"/>
      <c r="W773" s="26"/>
      <c r="Y773" s="22"/>
    </row>
    <row r="774" ht="14.25" customHeight="1">
      <c r="R774" s="22"/>
      <c r="S774" s="23"/>
      <c r="T774" s="22"/>
      <c r="U774" s="24"/>
      <c r="V774" s="25"/>
      <c r="W774" s="26"/>
      <c r="Y774" s="22"/>
    </row>
    <row r="775" ht="14.25" customHeight="1">
      <c r="R775" s="22"/>
      <c r="S775" s="23"/>
      <c r="T775" s="22"/>
      <c r="U775" s="24"/>
      <c r="V775" s="25"/>
      <c r="W775" s="26"/>
      <c r="Y775" s="22"/>
    </row>
    <row r="776" ht="14.25" customHeight="1">
      <c r="R776" s="22"/>
      <c r="S776" s="23"/>
      <c r="T776" s="22"/>
      <c r="U776" s="24"/>
      <c r="V776" s="25"/>
      <c r="W776" s="26"/>
      <c r="Y776" s="22"/>
    </row>
    <row r="777" ht="14.25" customHeight="1">
      <c r="R777" s="22"/>
      <c r="S777" s="23"/>
      <c r="T777" s="22"/>
      <c r="U777" s="24"/>
      <c r="V777" s="25"/>
      <c r="W777" s="26"/>
      <c r="Y777" s="22"/>
    </row>
    <row r="778" ht="14.25" customHeight="1">
      <c r="R778" s="22"/>
      <c r="S778" s="23"/>
      <c r="T778" s="22"/>
      <c r="U778" s="24"/>
      <c r="V778" s="25"/>
      <c r="W778" s="26"/>
      <c r="Y778" s="22"/>
    </row>
    <row r="779" ht="14.25" customHeight="1">
      <c r="R779" s="22"/>
      <c r="S779" s="23"/>
      <c r="T779" s="22"/>
      <c r="U779" s="24"/>
      <c r="V779" s="25"/>
      <c r="W779" s="26"/>
      <c r="Y779" s="22"/>
    </row>
    <row r="780" ht="14.25" customHeight="1">
      <c r="R780" s="22"/>
      <c r="S780" s="23"/>
      <c r="T780" s="22"/>
      <c r="U780" s="24"/>
      <c r="V780" s="25"/>
      <c r="W780" s="26"/>
      <c r="Y780" s="22"/>
    </row>
    <row r="781" ht="14.25" customHeight="1">
      <c r="R781" s="22"/>
      <c r="S781" s="23"/>
      <c r="T781" s="22"/>
      <c r="U781" s="24"/>
      <c r="V781" s="25"/>
      <c r="W781" s="26"/>
      <c r="Y781" s="22"/>
    </row>
    <row r="782" ht="14.25" customHeight="1">
      <c r="R782" s="22"/>
      <c r="S782" s="23"/>
      <c r="T782" s="22"/>
      <c r="U782" s="24"/>
      <c r="V782" s="25"/>
      <c r="W782" s="26"/>
      <c r="Y782" s="22"/>
    </row>
    <row r="783" ht="14.25" customHeight="1">
      <c r="R783" s="22"/>
      <c r="S783" s="23"/>
      <c r="T783" s="22"/>
      <c r="U783" s="24"/>
      <c r="V783" s="25"/>
      <c r="W783" s="26"/>
      <c r="Y783" s="22"/>
    </row>
    <row r="784" ht="14.25" customHeight="1">
      <c r="R784" s="22"/>
      <c r="S784" s="23"/>
      <c r="T784" s="22"/>
      <c r="U784" s="24"/>
      <c r="V784" s="25"/>
      <c r="W784" s="26"/>
      <c r="Y784" s="22"/>
    </row>
    <row r="785" ht="14.25" customHeight="1">
      <c r="R785" s="22"/>
      <c r="S785" s="23"/>
      <c r="T785" s="22"/>
      <c r="U785" s="24"/>
      <c r="V785" s="25"/>
      <c r="W785" s="26"/>
      <c r="Y785" s="22"/>
    </row>
    <row r="786" ht="14.25" customHeight="1">
      <c r="R786" s="22"/>
      <c r="S786" s="23"/>
      <c r="T786" s="22"/>
      <c r="U786" s="24"/>
      <c r="V786" s="25"/>
      <c r="W786" s="26"/>
      <c r="Y786" s="22"/>
    </row>
    <row r="787" ht="14.25" customHeight="1">
      <c r="R787" s="22"/>
      <c r="S787" s="23"/>
      <c r="T787" s="22"/>
      <c r="U787" s="24"/>
      <c r="V787" s="25"/>
      <c r="W787" s="26"/>
      <c r="Y787" s="22"/>
    </row>
    <row r="788" ht="14.25" customHeight="1">
      <c r="R788" s="22"/>
      <c r="S788" s="23"/>
      <c r="T788" s="22"/>
      <c r="U788" s="24"/>
      <c r="V788" s="25"/>
      <c r="W788" s="26"/>
      <c r="Y788" s="22"/>
    </row>
    <row r="789" ht="14.25" customHeight="1">
      <c r="R789" s="22"/>
      <c r="S789" s="23"/>
      <c r="T789" s="22"/>
      <c r="U789" s="24"/>
      <c r="V789" s="25"/>
      <c r="W789" s="26"/>
      <c r="Y789" s="22"/>
    </row>
    <row r="790" ht="14.25" customHeight="1">
      <c r="R790" s="22"/>
      <c r="S790" s="23"/>
      <c r="T790" s="22"/>
      <c r="U790" s="24"/>
      <c r="V790" s="25"/>
      <c r="W790" s="26"/>
      <c r="Y790" s="22"/>
    </row>
    <row r="791" ht="14.25" customHeight="1">
      <c r="R791" s="22"/>
      <c r="S791" s="23"/>
      <c r="T791" s="22"/>
      <c r="U791" s="24"/>
      <c r="V791" s="25"/>
      <c r="W791" s="26"/>
      <c r="Y791" s="22"/>
    </row>
    <row r="792" ht="14.25" customHeight="1">
      <c r="R792" s="22"/>
      <c r="S792" s="23"/>
      <c r="T792" s="22"/>
      <c r="U792" s="24"/>
      <c r="V792" s="25"/>
      <c r="W792" s="26"/>
      <c r="Y792" s="22"/>
    </row>
    <row r="793" ht="14.25" customHeight="1">
      <c r="R793" s="22"/>
      <c r="S793" s="23"/>
      <c r="T793" s="22"/>
      <c r="U793" s="24"/>
      <c r="V793" s="25"/>
      <c r="W793" s="26"/>
      <c r="Y793" s="22"/>
    </row>
    <row r="794" ht="14.25" customHeight="1">
      <c r="R794" s="22"/>
      <c r="S794" s="23"/>
      <c r="T794" s="22"/>
      <c r="U794" s="24"/>
      <c r="V794" s="25"/>
      <c r="W794" s="26"/>
      <c r="Y794" s="22"/>
    </row>
    <row r="795" ht="14.25" customHeight="1">
      <c r="R795" s="22"/>
      <c r="S795" s="23"/>
      <c r="T795" s="22"/>
      <c r="U795" s="24"/>
      <c r="V795" s="25"/>
      <c r="W795" s="26"/>
      <c r="Y795" s="22"/>
    </row>
    <row r="796" ht="14.25" customHeight="1">
      <c r="R796" s="22"/>
      <c r="S796" s="23"/>
      <c r="T796" s="22"/>
      <c r="U796" s="24"/>
      <c r="V796" s="25"/>
      <c r="W796" s="26"/>
      <c r="Y796" s="22"/>
    </row>
    <row r="797" ht="14.25" customHeight="1">
      <c r="R797" s="22"/>
      <c r="S797" s="23"/>
      <c r="T797" s="22"/>
      <c r="U797" s="24"/>
      <c r="V797" s="25"/>
      <c r="W797" s="26"/>
      <c r="Y797" s="22"/>
    </row>
    <row r="798" ht="14.25" customHeight="1">
      <c r="R798" s="22"/>
      <c r="S798" s="23"/>
      <c r="T798" s="22"/>
      <c r="U798" s="24"/>
      <c r="V798" s="25"/>
      <c r="W798" s="26"/>
      <c r="Y798" s="22"/>
    </row>
    <row r="799" ht="14.25" customHeight="1">
      <c r="R799" s="22"/>
      <c r="S799" s="23"/>
      <c r="T799" s="22"/>
      <c r="U799" s="24"/>
      <c r="V799" s="25"/>
      <c r="W799" s="26"/>
      <c r="Y799" s="22"/>
    </row>
    <row r="800" ht="14.25" customHeight="1">
      <c r="R800" s="22"/>
      <c r="S800" s="23"/>
      <c r="T800" s="22"/>
      <c r="U800" s="24"/>
      <c r="V800" s="25"/>
      <c r="W800" s="26"/>
      <c r="Y800" s="22"/>
    </row>
    <row r="801" ht="14.25" customHeight="1">
      <c r="R801" s="22"/>
      <c r="S801" s="23"/>
      <c r="T801" s="22"/>
      <c r="U801" s="24"/>
      <c r="V801" s="25"/>
      <c r="W801" s="26"/>
      <c r="Y801" s="22"/>
    </row>
    <row r="802" ht="14.25" customHeight="1">
      <c r="R802" s="22"/>
      <c r="S802" s="23"/>
      <c r="T802" s="22"/>
      <c r="U802" s="24"/>
      <c r="V802" s="25"/>
      <c r="W802" s="26"/>
      <c r="Y802" s="22"/>
    </row>
    <row r="803" ht="14.25" customHeight="1">
      <c r="R803" s="22"/>
      <c r="S803" s="23"/>
      <c r="T803" s="22"/>
      <c r="U803" s="24"/>
      <c r="V803" s="25"/>
      <c r="W803" s="26"/>
      <c r="Y803" s="22"/>
    </row>
    <row r="804" ht="14.25" customHeight="1">
      <c r="R804" s="22"/>
      <c r="S804" s="23"/>
      <c r="T804" s="22"/>
      <c r="U804" s="24"/>
      <c r="V804" s="25"/>
      <c r="W804" s="26"/>
      <c r="Y804" s="22"/>
    </row>
    <row r="805" ht="14.25" customHeight="1">
      <c r="R805" s="22"/>
      <c r="S805" s="23"/>
      <c r="T805" s="22"/>
      <c r="U805" s="24"/>
      <c r="V805" s="25"/>
      <c r="W805" s="26"/>
      <c r="Y805" s="22"/>
    </row>
    <row r="806" ht="14.25" customHeight="1">
      <c r="R806" s="22"/>
      <c r="S806" s="23"/>
      <c r="T806" s="22"/>
      <c r="U806" s="24"/>
      <c r="V806" s="25"/>
      <c r="W806" s="26"/>
      <c r="Y806" s="22"/>
    </row>
    <row r="807" ht="14.25" customHeight="1">
      <c r="R807" s="22"/>
      <c r="S807" s="23"/>
      <c r="T807" s="22"/>
      <c r="U807" s="24"/>
      <c r="V807" s="25"/>
      <c r="W807" s="26"/>
      <c r="Y807" s="22"/>
    </row>
    <row r="808" ht="14.25" customHeight="1">
      <c r="R808" s="22"/>
      <c r="S808" s="23"/>
      <c r="T808" s="22"/>
      <c r="U808" s="24"/>
      <c r="V808" s="25"/>
      <c r="W808" s="26"/>
      <c r="Y808" s="22"/>
    </row>
    <row r="809" ht="14.25" customHeight="1">
      <c r="R809" s="22"/>
      <c r="S809" s="23"/>
      <c r="T809" s="22"/>
      <c r="U809" s="24"/>
      <c r="V809" s="25"/>
      <c r="W809" s="26"/>
      <c r="Y809" s="22"/>
    </row>
    <row r="810" ht="14.25" customHeight="1">
      <c r="R810" s="22"/>
      <c r="S810" s="23"/>
      <c r="T810" s="22"/>
      <c r="U810" s="24"/>
      <c r="V810" s="25"/>
      <c r="W810" s="26"/>
      <c r="Y810" s="22"/>
    </row>
    <row r="811" ht="14.25" customHeight="1">
      <c r="R811" s="22"/>
      <c r="S811" s="23"/>
      <c r="T811" s="22"/>
      <c r="U811" s="24"/>
      <c r="V811" s="25"/>
      <c r="W811" s="26"/>
      <c r="Y811" s="22"/>
    </row>
    <row r="812" ht="14.25" customHeight="1">
      <c r="R812" s="22"/>
      <c r="S812" s="23"/>
      <c r="T812" s="22"/>
      <c r="U812" s="24"/>
      <c r="V812" s="25"/>
      <c r="W812" s="26"/>
      <c r="Y812" s="22"/>
    </row>
    <row r="813" ht="14.25" customHeight="1">
      <c r="R813" s="22"/>
      <c r="S813" s="23"/>
      <c r="T813" s="22"/>
      <c r="U813" s="24"/>
      <c r="V813" s="25"/>
      <c r="W813" s="26"/>
      <c r="Y813" s="22"/>
    </row>
    <row r="814" ht="14.25" customHeight="1">
      <c r="R814" s="22"/>
      <c r="S814" s="23"/>
      <c r="T814" s="22"/>
      <c r="U814" s="24"/>
      <c r="V814" s="25"/>
      <c r="W814" s="26"/>
      <c r="Y814" s="22"/>
    </row>
    <row r="815" ht="14.25" customHeight="1">
      <c r="R815" s="22"/>
      <c r="S815" s="23"/>
      <c r="T815" s="22"/>
      <c r="U815" s="24"/>
      <c r="V815" s="25"/>
      <c r="W815" s="26"/>
      <c r="Y815" s="22"/>
    </row>
    <row r="816" ht="14.25" customHeight="1">
      <c r="R816" s="22"/>
      <c r="S816" s="23"/>
      <c r="T816" s="22"/>
      <c r="U816" s="24"/>
      <c r="V816" s="25"/>
      <c r="W816" s="26"/>
      <c r="Y816" s="22"/>
    </row>
    <row r="817" ht="14.25" customHeight="1">
      <c r="R817" s="22"/>
      <c r="S817" s="23"/>
      <c r="T817" s="22"/>
      <c r="U817" s="24"/>
      <c r="V817" s="25"/>
      <c r="W817" s="26"/>
      <c r="Y817" s="22"/>
    </row>
    <row r="818" ht="14.25" customHeight="1">
      <c r="R818" s="22"/>
      <c r="S818" s="23"/>
      <c r="T818" s="22"/>
      <c r="U818" s="24"/>
      <c r="V818" s="25"/>
      <c r="W818" s="26"/>
      <c r="Y818" s="22"/>
    </row>
    <row r="819" ht="14.25" customHeight="1">
      <c r="R819" s="22"/>
      <c r="S819" s="23"/>
      <c r="T819" s="22"/>
      <c r="U819" s="24"/>
      <c r="V819" s="25"/>
      <c r="W819" s="26"/>
      <c r="Y819" s="22"/>
    </row>
    <row r="820" ht="14.25" customHeight="1">
      <c r="R820" s="22"/>
      <c r="S820" s="23"/>
      <c r="T820" s="22"/>
      <c r="U820" s="24"/>
      <c r="V820" s="25"/>
      <c r="W820" s="26"/>
      <c r="Y820" s="22"/>
    </row>
    <row r="821" ht="14.25" customHeight="1">
      <c r="R821" s="22"/>
      <c r="S821" s="23"/>
      <c r="T821" s="22"/>
      <c r="U821" s="24"/>
      <c r="V821" s="25"/>
      <c r="W821" s="26"/>
      <c r="Y821" s="22"/>
    </row>
    <row r="822" ht="14.25" customHeight="1">
      <c r="R822" s="22"/>
      <c r="S822" s="23"/>
      <c r="T822" s="22"/>
      <c r="U822" s="24"/>
      <c r="V822" s="25"/>
      <c r="W822" s="26"/>
      <c r="Y822" s="22"/>
    </row>
    <row r="823" ht="14.25" customHeight="1">
      <c r="R823" s="22"/>
      <c r="S823" s="23"/>
      <c r="T823" s="22"/>
      <c r="U823" s="24"/>
      <c r="V823" s="25"/>
      <c r="W823" s="26"/>
      <c r="Y823" s="22"/>
    </row>
    <row r="824" ht="14.25" customHeight="1">
      <c r="R824" s="22"/>
      <c r="S824" s="23"/>
      <c r="T824" s="22"/>
      <c r="U824" s="24"/>
      <c r="V824" s="25"/>
      <c r="W824" s="26"/>
      <c r="Y824" s="22"/>
    </row>
    <row r="825" ht="14.25" customHeight="1">
      <c r="R825" s="22"/>
      <c r="S825" s="23"/>
      <c r="T825" s="22"/>
      <c r="U825" s="24"/>
      <c r="V825" s="25"/>
      <c r="W825" s="26"/>
      <c r="Y825" s="22"/>
    </row>
    <row r="826" ht="14.25" customHeight="1">
      <c r="R826" s="22"/>
      <c r="S826" s="23"/>
      <c r="T826" s="22"/>
      <c r="U826" s="24"/>
      <c r="V826" s="25"/>
      <c r="W826" s="26"/>
      <c r="Y826" s="22"/>
    </row>
    <row r="827" ht="14.25" customHeight="1">
      <c r="R827" s="22"/>
      <c r="S827" s="23"/>
      <c r="T827" s="22"/>
      <c r="U827" s="24"/>
      <c r="V827" s="25"/>
      <c r="W827" s="26"/>
      <c r="Y827" s="22"/>
    </row>
    <row r="828" ht="14.25" customHeight="1">
      <c r="R828" s="22"/>
      <c r="S828" s="23"/>
      <c r="T828" s="22"/>
      <c r="U828" s="24"/>
      <c r="V828" s="25"/>
      <c r="W828" s="26"/>
      <c r="Y828" s="22"/>
    </row>
    <row r="829" ht="14.25" customHeight="1">
      <c r="R829" s="22"/>
      <c r="S829" s="23"/>
      <c r="T829" s="22"/>
      <c r="U829" s="24"/>
      <c r="V829" s="25"/>
      <c r="W829" s="26"/>
      <c r="Y829" s="22"/>
    </row>
    <row r="830" ht="14.25" customHeight="1">
      <c r="R830" s="22"/>
      <c r="S830" s="23"/>
      <c r="T830" s="22"/>
      <c r="U830" s="24"/>
      <c r="V830" s="25"/>
      <c r="W830" s="26"/>
      <c r="Y830" s="22"/>
    </row>
    <row r="831" ht="14.25" customHeight="1">
      <c r="R831" s="22"/>
      <c r="S831" s="23"/>
      <c r="T831" s="22"/>
      <c r="U831" s="24"/>
      <c r="V831" s="25"/>
      <c r="W831" s="26"/>
      <c r="Y831" s="22"/>
    </row>
    <row r="832" ht="14.25" customHeight="1">
      <c r="R832" s="22"/>
      <c r="S832" s="23"/>
      <c r="T832" s="22"/>
      <c r="U832" s="24"/>
      <c r="V832" s="25"/>
      <c r="W832" s="26"/>
      <c r="Y832" s="22"/>
    </row>
    <row r="833" ht="14.25" customHeight="1">
      <c r="R833" s="22"/>
      <c r="S833" s="23"/>
      <c r="T833" s="22"/>
      <c r="U833" s="24"/>
      <c r="V833" s="25"/>
      <c r="W833" s="26"/>
      <c r="Y833" s="22"/>
    </row>
    <row r="834" ht="14.25" customHeight="1">
      <c r="R834" s="22"/>
      <c r="S834" s="23"/>
      <c r="T834" s="22"/>
      <c r="U834" s="24"/>
      <c r="V834" s="25"/>
      <c r="W834" s="26"/>
      <c r="Y834" s="22"/>
    </row>
    <row r="835" ht="14.25" customHeight="1">
      <c r="R835" s="22"/>
      <c r="S835" s="23"/>
      <c r="T835" s="22"/>
      <c r="U835" s="24"/>
      <c r="V835" s="25"/>
      <c r="W835" s="26"/>
      <c r="Y835" s="22"/>
    </row>
    <row r="836" ht="14.25" customHeight="1">
      <c r="R836" s="22"/>
      <c r="S836" s="23"/>
      <c r="T836" s="22"/>
      <c r="U836" s="24"/>
      <c r="V836" s="25"/>
      <c r="W836" s="26"/>
      <c r="Y836" s="22"/>
    </row>
    <row r="837" ht="14.25" customHeight="1">
      <c r="R837" s="22"/>
      <c r="S837" s="23"/>
      <c r="T837" s="22"/>
      <c r="U837" s="24"/>
      <c r="V837" s="25"/>
      <c r="W837" s="26"/>
      <c r="Y837" s="22"/>
    </row>
    <row r="838" ht="14.25" customHeight="1">
      <c r="R838" s="22"/>
      <c r="S838" s="23"/>
      <c r="T838" s="22"/>
      <c r="U838" s="24"/>
      <c r="V838" s="25"/>
      <c r="W838" s="26"/>
      <c r="Y838" s="22"/>
    </row>
    <row r="839" ht="14.25" customHeight="1">
      <c r="R839" s="22"/>
      <c r="S839" s="23"/>
      <c r="T839" s="22"/>
      <c r="U839" s="24"/>
      <c r="V839" s="25"/>
      <c r="W839" s="26"/>
      <c r="Y839" s="22"/>
    </row>
    <row r="840" ht="14.25" customHeight="1">
      <c r="R840" s="22"/>
      <c r="S840" s="23"/>
      <c r="T840" s="22"/>
      <c r="U840" s="24"/>
      <c r="V840" s="25"/>
      <c r="W840" s="26"/>
      <c r="Y840" s="22"/>
    </row>
    <row r="841" ht="14.25" customHeight="1">
      <c r="R841" s="22"/>
      <c r="S841" s="23"/>
      <c r="T841" s="22"/>
      <c r="U841" s="24"/>
      <c r="V841" s="25"/>
      <c r="W841" s="26"/>
      <c r="Y841" s="22"/>
    </row>
    <row r="842" ht="14.25" customHeight="1">
      <c r="R842" s="22"/>
      <c r="S842" s="23"/>
      <c r="T842" s="22"/>
      <c r="U842" s="24"/>
      <c r="V842" s="25"/>
      <c r="W842" s="26"/>
      <c r="Y842" s="22"/>
    </row>
    <row r="843" ht="14.25" customHeight="1">
      <c r="R843" s="22"/>
      <c r="S843" s="23"/>
      <c r="T843" s="22"/>
      <c r="U843" s="24"/>
      <c r="V843" s="25"/>
      <c r="W843" s="26"/>
      <c r="Y843" s="22"/>
    </row>
    <row r="844" ht="14.25" customHeight="1">
      <c r="R844" s="22"/>
      <c r="S844" s="23"/>
      <c r="T844" s="22"/>
      <c r="U844" s="24"/>
      <c r="V844" s="25"/>
      <c r="W844" s="26"/>
      <c r="Y844" s="22"/>
    </row>
    <row r="845" ht="14.25" customHeight="1">
      <c r="R845" s="22"/>
      <c r="S845" s="23"/>
      <c r="T845" s="22"/>
      <c r="U845" s="24"/>
      <c r="V845" s="25"/>
      <c r="W845" s="26"/>
      <c r="Y845" s="22"/>
    </row>
    <row r="846" ht="14.25" customHeight="1">
      <c r="R846" s="22"/>
      <c r="S846" s="23"/>
      <c r="T846" s="22"/>
      <c r="U846" s="24"/>
      <c r="V846" s="25"/>
      <c r="W846" s="26"/>
      <c r="Y846" s="22"/>
    </row>
    <row r="847" ht="14.25" customHeight="1">
      <c r="R847" s="22"/>
      <c r="S847" s="23"/>
      <c r="T847" s="22"/>
      <c r="U847" s="24"/>
      <c r="V847" s="25"/>
      <c r="W847" s="26"/>
      <c r="Y847" s="22"/>
    </row>
    <row r="848" ht="14.25" customHeight="1">
      <c r="R848" s="22"/>
      <c r="S848" s="23"/>
      <c r="T848" s="22"/>
      <c r="U848" s="24"/>
      <c r="V848" s="25"/>
      <c r="W848" s="26"/>
      <c r="Y848" s="22"/>
    </row>
    <row r="849" ht="14.25" customHeight="1">
      <c r="R849" s="22"/>
      <c r="S849" s="23"/>
      <c r="T849" s="22"/>
      <c r="U849" s="24"/>
      <c r="V849" s="25"/>
      <c r="W849" s="26"/>
      <c r="Y849" s="22"/>
    </row>
    <row r="850" ht="14.25" customHeight="1">
      <c r="R850" s="22"/>
      <c r="S850" s="23"/>
      <c r="T850" s="22"/>
      <c r="U850" s="24"/>
      <c r="V850" s="25"/>
      <c r="W850" s="26"/>
      <c r="Y850" s="22"/>
    </row>
    <row r="851" ht="14.25" customHeight="1">
      <c r="R851" s="22"/>
      <c r="S851" s="23"/>
      <c r="T851" s="22"/>
      <c r="U851" s="24"/>
      <c r="V851" s="25"/>
      <c r="W851" s="26"/>
      <c r="Y851" s="22"/>
    </row>
    <row r="852" ht="14.25" customHeight="1">
      <c r="R852" s="22"/>
      <c r="S852" s="23"/>
      <c r="T852" s="22"/>
      <c r="U852" s="24"/>
      <c r="V852" s="25"/>
      <c r="W852" s="26"/>
      <c r="Y852" s="22"/>
    </row>
    <row r="853" ht="14.25" customHeight="1">
      <c r="R853" s="22"/>
      <c r="S853" s="23"/>
      <c r="T853" s="22"/>
      <c r="U853" s="24"/>
      <c r="V853" s="25"/>
      <c r="W853" s="26"/>
      <c r="Y853" s="22"/>
    </row>
    <row r="854" ht="14.25" customHeight="1">
      <c r="R854" s="22"/>
      <c r="S854" s="23"/>
      <c r="T854" s="22"/>
      <c r="U854" s="24"/>
      <c r="V854" s="25"/>
      <c r="W854" s="26"/>
      <c r="Y854" s="22"/>
    </row>
    <row r="855" ht="14.25" customHeight="1">
      <c r="R855" s="22"/>
      <c r="S855" s="23"/>
      <c r="T855" s="22"/>
      <c r="U855" s="24"/>
      <c r="V855" s="25"/>
      <c r="W855" s="26"/>
      <c r="Y855" s="22"/>
    </row>
    <row r="856" ht="14.25" customHeight="1">
      <c r="R856" s="22"/>
      <c r="S856" s="23"/>
      <c r="T856" s="22"/>
      <c r="U856" s="24"/>
      <c r="V856" s="25"/>
      <c r="W856" s="26"/>
      <c r="Y856" s="22"/>
    </row>
    <row r="857" ht="14.25" customHeight="1">
      <c r="R857" s="22"/>
      <c r="S857" s="23"/>
      <c r="T857" s="22"/>
      <c r="U857" s="24"/>
      <c r="V857" s="25"/>
      <c r="W857" s="26"/>
      <c r="Y857" s="22"/>
    </row>
    <row r="858" ht="14.25" customHeight="1">
      <c r="R858" s="22"/>
      <c r="S858" s="23"/>
      <c r="T858" s="22"/>
      <c r="U858" s="24"/>
      <c r="V858" s="25"/>
      <c r="W858" s="26"/>
      <c r="Y858" s="22"/>
    </row>
    <row r="859" ht="14.25" customHeight="1">
      <c r="R859" s="22"/>
      <c r="S859" s="23"/>
      <c r="T859" s="22"/>
      <c r="U859" s="24"/>
      <c r="V859" s="25"/>
      <c r="W859" s="26"/>
      <c r="Y859" s="22"/>
    </row>
    <row r="860" ht="14.25" customHeight="1">
      <c r="R860" s="22"/>
      <c r="S860" s="23"/>
      <c r="T860" s="22"/>
      <c r="U860" s="24"/>
      <c r="V860" s="25"/>
      <c r="W860" s="26"/>
      <c r="Y860" s="22"/>
    </row>
    <row r="861" ht="14.25" customHeight="1">
      <c r="R861" s="22"/>
      <c r="S861" s="23"/>
      <c r="T861" s="22"/>
      <c r="U861" s="24"/>
      <c r="V861" s="25"/>
      <c r="W861" s="26"/>
      <c r="Y861" s="22"/>
    </row>
    <row r="862" ht="14.25" customHeight="1">
      <c r="R862" s="22"/>
      <c r="S862" s="23"/>
      <c r="T862" s="22"/>
      <c r="U862" s="24"/>
      <c r="V862" s="25"/>
      <c r="W862" s="26"/>
      <c r="Y862" s="22"/>
    </row>
    <row r="863" ht="14.25" customHeight="1">
      <c r="R863" s="22"/>
      <c r="S863" s="23"/>
      <c r="T863" s="22"/>
      <c r="U863" s="24"/>
      <c r="V863" s="25"/>
      <c r="W863" s="26"/>
      <c r="Y863" s="22"/>
    </row>
    <row r="864" ht="14.25" customHeight="1">
      <c r="R864" s="22"/>
      <c r="S864" s="23"/>
      <c r="T864" s="22"/>
      <c r="U864" s="24"/>
      <c r="V864" s="25"/>
      <c r="W864" s="26"/>
      <c r="Y864" s="22"/>
    </row>
    <row r="865" ht="14.25" customHeight="1">
      <c r="R865" s="22"/>
      <c r="S865" s="23"/>
      <c r="T865" s="22"/>
      <c r="U865" s="24"/>
      <c r="V865" s="25"/>
      <c r="W865" s="26"/>
      <c r="Y865" s="22"/>
    </row>
    <row r="866" ht="14.25" customHeight="1">
      <c r="R866" s="22"/>
      <c r="S866" s="23"/>
      <c r="T866" s="22"/>
      <c r="U866" s="24"/>
      <c r="V866" s="25"/>
      <c r="W866" s="26"/>
      <c r="Y866" s="22"/>
    </row>
    <row r="867" ht="14.25" customHeight="1">
      <c r="R867" s="22"/>
      <c r="S867" s="23"/>
      <c r="T867" s="22"/>
      <c r="U867" s="24"/>
      <c r="V867" s="25"/>
      <c r="W867" s="26"/>
      <c r="Y867" s="22"/>
    </row>
    <row r="868" ht="14.25" customHeight="1">
      <c r="R868" s="22"/>
      <c r="S868" s="23"/>
      <c r="T868" s="22"/>
      <c r="U868" s="24"/>
      <c r="V868" s="25"/>
      <c r="W868" s="26"/>
      <c r="Y868" s="22"/>
    </row>
    <row r="869" ht="14.25" customHeight="1">
      <c r="R869" s="22"/>
      <c r="S869" s="23"/>
      <c r="T869" s="22"/>
      <c r="U869" s="24"/>
      <c r="V869" s="25"/>
      <c r="W869" s="26"/>
      <c r="Y869" s="22"/>
    </row>
    <row r="870" ht="14.25" customHeight="1">
      <c r="R870" s="22"/>
      <c r="S870" s="23"/>
      <c r="T870" s="22"/>
      <c r="U870" s="24"/>
      <c r="V870" s="25"/>
      <c r="W870" s="26"/>
      <c r="Y870" s="22"/>
    </row>
    <row r="871" ht="14.25" customHeight="1">
      <c r="R871" s="22"/>
      <c r="S871" s="23"/>
      <c r="T871" s="22"/>
      <c r="U871" s="24"/>
      <c r="V871" s="25"/>
      <c r="W871" s="26"/>
      <c r="Y871" s="22"/>
    </row>
    <row r="872" ht="14.25" customHeight="1">
      <c r="R872" s="22"/>
      <c r="S872" s="23"/>
      <c r="T872" s="22"/>
      <c r="U872" s="24"/>
      <c r="V872" s="25"/>
      <c r="W872" s="26"/>
      <c r="Y872" s="22"/>
    </row>
    <row r="873" ht="14.25" customHeight="1">
      <c r="R873" s="22"/>
      <c r="S873" s="23"/>
      <c r="T873" s="22"/>
      <c r="U873" s="24"/>
      <c r="V873" s="25"/>
      <c r="W873" s="26"/>
      <c r="Y873" s="22"/>
    </row>
    <row r="874" ht="14.25" customHeight="1">
      <c r="R874" s="22"/>
      <c r="S874" s="23"/>
      <c r="T874" s="22"/>
      <c r="U874" s="24"/>
      <c r="V874" s="25"/>
      <c r="W874" s="26"/>
      <c r="Y874" s="22"/>
    </row>
    <row r="875" ht="14.25" customHeight="1">
      <c r="R875" s="22"/>
      <c r="S875" s="23"/>
      <c r="T875" s="22"/>
      <c r="U875" s="24"/>
      <c r="V875" s="25"/>
      <c r="W875" s="26"/>
      <c r="Y875" s="22"/>
    </row>
    <row r="876" ht="14.25" customHeight="1">
      <c r="R876" s="22"/>
      <c r="S876" s="23"/>
      <c r="T876" s="22"/>
      <c r="U876" s="24"/>
      <c r="V876" s="25"/>
      <c r="W876" s="26"/>
      <c r="Y876" s="22"/>
    </row>
    <row r="877" ht="14.25" customHeight="1">
      <c r="R877" s="22"/>
      <c r="S877" s="23"/>
      <c r="T877" s="22"/>
      <c r="U877" s="24"/>
      <c r="V877" s="25"/>
      <c r="W877" s="26"/>
      <c r="Y877" s="22"/>
    </row>
    <row r="878" ht="14.25" customHeight="1">
      <c r="R878" s="22"/>
      <c r="S878" s="23"/>
      <c r="T878" s="22"/>
      <c r="U878" s="24"/>
      <c r="V878" s="25"/>
      <c r="W878" s="26"/>
      <c r="Y878" s="22"/>
    </row>
    <row r="879" ht="14.25" customHeight="1">
      <c r="R879" s="22"/>
      <c r="S879" s="23"/>
      <c r="T879" s="22"/>
      <c r="U879" s="24"/>
      <c r="V879" s="25"/>
      <c r="W879" s="26"/>
      <c r="Y879" s="22"/>
    </row>
    <row r="880" ht="14.25" customHeight="1">
      <c r="R880" s="22"/>
      <c r="S880" s="23"/>
      <c r="T880" s="22"/>
      <c r="U880" s="24"/>
      <c r="V880" s="25"/>
      <c r="W880" s="26"/>
      <c r="Y880" s="22"/>
    </row>
    <row r="881" ht="14.25" customHeight="1">
      <c r="R881" s="22"/>
      <c r="S881" s="23"/>
      <c r="T881" s="22"/>
      <c r="U881" s="24"/>
      <c r="V881" s="25"/>
      <c r="W881" s="26"/>
      <c r="Y881" s="22"/>
    </row>
    <row r="882" ht="14.25" customHeight="1">
      <c r="R882" s="22"/>
      <c r="S882" s="23"/>
      <c r="T882" s="22"/>
      <c r="U882" s="24"/>
      <c r="V882" s="25"/>
      <c r="W882" s="26"/>
      <c r="Y882" s="22"/>
    </row>
    <row r="883" ht="14.25" customHeight="1">
      <c r="R883" s="22"/>
      <c r="S883" s="23"/>
      <c r="T883" s="22"/>
      <c r="U883" s="24"/>
      <c r="V883" s="25"/>
      <c r="W883" s="26"/>
      <c r="Y883" s="22"/>
    </row>
    <row r="884" ht="14.25" customHeight="1">
      <c r="R884" s="22"/>
      <c r="S884" s="23"/>
      <c r="T884" s="22"/>
      <c r="U884" s="24"/>
      <c r="V884" s="25"/>
      <c r="W884" s="26"/>
      <c r="Y884" s="22"/>
    </row>
    <row r="885" ht="14.25" customHeight="1">
      <c r="R885" s="22"/>
      <c r="S885" s="23"/>
      <c r="T885" s="22"/>
      <c r="U885" s="24"/>
      <c r="V885" s="25"/>
      <c r="W885" s="26"/>
      <c r="Y885" s="22"/>
    </row>
    <row r="886" ht="14.25" customHeight="1">
      <c r="R886" s="22"/>
      <c r="S886" s="23"/>
      <c r="T886" s="22"/>
      <c r="U886" s="24"/>
      <c r="V886" s="25"/>
      <c r="W886" s="26"/>
      <c r="Y886" s="22"/>
    </row>
    <row r="887" ht="14.25" customHeight="1">
      <c r="R887" s="22"/>
      <c r="S887" s="23"/>
      <c r="T887" s="22"/>
      <c r="U887" s="24"/>
      <c r="V887" s="25"/>
      <c r="W887" s="26"/>
      <c r="Y887" s="22"/>
    </row>
    <row r="888" ht="14.25" customHeight="1">
      <c r="R888" s="22"/>
      <c r="S888" s="23"/>
      <c r="T888" s="22"/>
      <c r="U888" s="24"/>
      <c r="V888" s="25"/>
      <c r="W888" s="26"/>
      <c r="Y888" s="22"/>
    </row>
    <row r="889" ht="14.25" customHeight="1">
      <c r="R889" s="22"/>
      <c r="S889" s="23"/>
      <c r="T889" s="22"/>
      <c r="U889" s="24"/>
      <c r="V889" s="25"/>
      <c r="W889" s="26"/>
      <c r="Y889" s="22"/>
    </row>
    <row r="890" ht="14.25" customHeight="1">
      <c r="R890" s="22"/>
      <c r="S890" s="23"/>
      <c r="T890" s="22"/>
      <c r="U890" s="24"/>
      <c r="V890" s="25"/>
      <c r="W890" s="26"/>
      <c r="Y890" s="22"/>
    </row>
    <row r="891" ht="14.25" customHeight="1">
      <c r="R891" s="22"/>
      <c r="S891" s="23"/>
      <c r="T891" s="22"/>
      <c r="U891" s="24"/>
      <c r="V891" s="25"/>
      <c r="W891" s="26"/>
      <c r="Y891" s="22"/>
    </row>
    <row r="892" ht="14.25" customHeight="1">
      <c r="R892" s="22"/>
      <c r="S892" s="23"/>
      <c r="T892" s="22"/>
      <c r="U892" s="24"/>
      <c r="V892" s="25"/>
      <c r="W892" s="26"/>
      <c r="Y892" s="22"/>
    </row>
    <row r="893" ht="14.25" customHeight="1">
      <c r="R893" s="22"/>
      <c r="S893" s="23"/>
      <c r="T893" s="22"/>
      <c r="U893" s="24"/>
      <c r="V893" s="25"/>
      <c r="W893" s="26"/>
      <c r="Y893" s="22"/>
    </row>
    <row r="894" ht="14.25" customHeight="1">
      <c r="R894" s="22"/>
      <c r="S894" s="23"/>
      <c r="T894" s="22"/>
      <c r="U894" s="24"/>
      <c r="V894" s="25"/>
      <c r="W894" s="26"/>
      <c r="Y894" s="22"/>
    </row>
    <row r="895" ht="14.25" customHeight="1">
      <c r="R895" s="22"/>
      <c r="S895" s="23"/>
      <c r="T895" s="22"/>
      <c r="U895" s="24"/>
      <c r="V895" s="25"/>
      <c r="W895" s="26"/>
      <c r="Y895" s="22"/>
    </row>
    <row r="896" ht="14.25" customHeight="1">
      <c r="R896" s="22"/>
      <c r="S896" s="23"/>
      <c r="T896" s="22"/>
      <c r="U896" s="24"/>
      <c r="V896" s="25"/>
      <c r="W896" s="26"/>
      <c r="Y896" s="22"/>
    </row>
    <row r="897" ht="14.25" customHeight="1">
      <c r="R897" s="22"/>
      <c r="S897" s="23"/>
      <c r="T897" s="22"/>
      <c r="U897" s="24"/>
      <c r="V897" s="25"/>
      <c r="W897" s="26"/>
      <c r="Y897" s="22"/>
    </row>
    <row r="898" ht="14.25" customHeight="1">
      <c r="R898" s="22"/>
      <c r="S898" s="23"/>
      <c r="T898" s="22"/>
      <c r="U898" s="24"/>
      <c r="V898" s="25"/>
      <c r="W898" s="26"/>
      <c r="Y898" s="22"/>
    </row>
    <row r="899" ht="14.25" customHeight="1">
      <c r="R899" s="22"/>
      <c r="S899" s="23"/>
      <c r="T899" s="22"/>
      <c r="U899" s="24"/>
      <c r="V899" s="25"/>
      <c r="W899" s="26"/>
      <c r="Y899" s="22"/>
    </row>
    <row r="900" ht="14.25" customHeight="1">
      <c r="R900" s="22"/>
      <c r="S900" s="23"/>
      <c r="T900" s="22"/>
      <c r="U900" s="24"/>
      <c r="V900" s="25"/>
      <c r="W900" s="26"/>
      <c r="Y900" s="22"/>
    </row>
    <row r="901" ht="14.25" customHeight="1">
      <c r="R901" s="22"/>
      <c r="S901" s="23"/>
      <c r="T901" s="22"/>
      <c r="U901" s="24"/>
      <c r="V901" s="25"/>
      <c r="W901" s="26"/>
      <c r="Y901" s="22"/>
    </row>
    <row r="902" ht="14.25" customHeight="1">
      <c r="R902" s="22"/>
      <c r="S902" s="23"/>
      <c r="T902" s="22"/>
      <c r="U902" s="24"/>
      <c r="V902" s="25"/>
      <c r="W902" s="26"/>
      <c r="Y902" s="22"/>
    </row>
    <row r="903" ht="14.25" customHeight="1">
      <c r="R903" s="22"/>
      <c r="S903" s="23"/>
      <c r="T903" s="22"/>
      <c r="U903" s="24"/>
      <c r="V903" s="25"/>
      <c r="W903" s="26"/>
      <c r="Y903" s="22"/>
    </row>
    <row r="904" ht="14.25" customHeight="1">
      <c r="R904" s="22"/>
      <c r="S904" s="23"/>
      <c r="T904" s="22"/>
      <c r="U904" s="24"/>
      <c r="V904" s="25"/>
      <c r="W904" s="26"/>
      <c r="Y904" s="22"/>
    </row>
    <row r="905" ht="14.25" customHeight="1">
      <c r="R905" s="22"/>
      <c r="S905" s="23"/>
      <c r="T905" s="22"/>
      <c r="U905" s="24"/>
      <c r="V905" s="25"/>
      <c r="W905" s="26"/>
      <c r="Y905" s="22"/>
    </row>
    <row r="906" ht="14.25" customHeight="1">
      <c r="R906" s="22"/>
      <c r="S906" s="23"/>
      <c r="T906" s="22"/>
      <c r="U906" s="24"/>
      <c r="V906" s="25"/>
      <c r="W906" s="26"/>
      <c r="Y906" s="22"/>
    </row>
    <row r="907" ht="14.25" customHeight="1">
      <c r="R907" s="22"/>
      <c r="S907" s="23"/>
      <c r="T907" s="22"/>
      <c r="U907" s="24"/>
      <c r="V907" s="25"/>
      <c r="W907" s="26"/>
      <c r="Y907" s="22"/>
    </row>
    <row r="908" ht="14.25" customHeight="1">
      <c r="R908" s="22"/>
      <c r="S908" s="23"/>
      <c r="T908" s="22"/>
      <c r="U908" s="24"/>
      <c r="V908" s="25"/>
      <c r="W908" s="26"/>
      <c r="Y908" s="22"/>
    </row>
    <row r="909" ht="14.25" customHeight="1">
      <c r="R909" s="22"/>
      <c r="S909" s="23"/>
      <c r="T909" s="22"/>
      <c r="U909" s="24"/>
      <c r="V909" s="25"/>
      <c r="W909" s="26"/>
      <c r="Y909" s="22"/>
    </row>
    <row r="910" ht="14.25" customHeight="1">
      <c r="R910" s="22"/>
      <c r="S910" s="23"/>
      <c r="T910" s="22"/>
      <c r="U910" s="24"/>
      <c r="V910" s="25"/>
      <c r="W910" s="26"/>
      <c r="Y910" s="22"/>
    </row>
    <row r="911" ht="14.25" customHeight="1">
      <c r="R911" s="22"/>
      <c r="S911" s="23"/>
      <c r="T911" s="22"/>
      <c r="U911" s="24"/>
      <c r="V911" s="25"/>
      <c r="W911" s="26"/>
      <c r="Y911" s="22"/>
    </row>
    <row r="912" ht="14.25" customHeight="1">
      <c r="R912" s="22"/>
      <c r="S912" s="23"/>
      <c r="T912" s="22"/>
      <c r="U912" s="24"/>
      <c r="V912" s="25"/>
      <c r="W912" s="26"/>
      <c r="Y912" s="22"/>
    </row>
    <row r="913" ht="14.25" customHeight="1">
      <c r="R913" s="22"/>
      <c r="S913" s="23"/>
      <c r="T913" s="22"/>
      <c r="U913" s="24"/>
      <c r="V913" s="25"/>
      <c r="W913" s="26"/>
      <c r="Y913" s="22"/>
    </row>
    <row r="914" ht="14.25" customHeight="1">
      <c r="R914" s="22"/>
      <c r="S914" s="23"/>
      <c r="T914" s="22"/>
      <c r="U914" s="24"/>
      <c r="V914" s="25"/>
      <c r="W914" s="26"/>
      <c r="Y914" s="22"/>
    </row>
    <row r="915" ht="14.25" customHeight="1">
      <c r="R915" s="22"/>
      <c r="S915" s="23"/>
      <c r="T915" s="22"/>
      <c r="U915" s="24"/>
      <c r="V915" s="25"/>
      <c r="W915" s="26"/>
      <c r="Y915" s="22"/>
    </row>
    <row r="916" ht="14.25" customHeight="1">
      <c r="R916" s="22"/>
      <c r="S916" s="23"/>
      <c r="T916" s="22"/>
      <c r="U916" s="24"/>
      <c r="V916" s="25"/>
      <c r="W916" s="26"/>
      <c r="Y916" s="22"/>
    </row>
    <row r="917" ht="14.25" customHeight="1">
      <c r="R917" s="22"/>
      <c r="S917" s="23"/>
      <c r="T917" s="22"/>
      <c r="U917" s="24"/>
      <c r="V917" s="25"/>
      <c r="W917" s="26"/>
      <c r="Y917" s="22"/>
    </row>
    <row r="918" ht="14.25" customHeight="1">
      <c r="R918" s="22"/>
      <c r="S918" s="23"/>
      <c r="T918" s="22"/>
      <c r="U918" s="24"/>
      <c r="V918" s="25"/>
      <c r="W918" s="26"/>
      <c r="Y918" s="22"/>
    </row>
    <row r="919" ht="14.25" customHeight="1">
      <c r="R919" s="22"/>
      <c r="S919" s="23"/>
      <c r="T919" s="22"/>
      <c r="U919" s="24"/>
      <c r="V919" s="25"/>
      <c r="W919" s="26"/>
      <c r="Y919" s="22"/>
    </row>
    <row r="920" ht="14.25" customHeight="1">
      <c r="R920" s="22"/>
      <c r="S920" s="23"/>
      <c r="T920" s="22"/>
      <c r="U920" s="24"/>
      <c r="V920" s="25"/>
      <c r="W920" s="26"/>
      <c r="Y920" s="22"/>
    </row>
    <row r="921" ht="14.25" customHeight="1">
      <c r="R921" s="22"/>
      <c r="S921" s="23"/>
      <c r="T921" s="22"/>
      <c r="U921" s="24"/>
      <c r="V921" s="25"/>
      <c r="W921" s="26"/>
      <c r="Y921" s="22"/>
    </row>
    <row r="922" ht="14.25" customHeight="1">
      <c r="R922" s="22"/>
      <c r="S922" s="23"/>
      <c r="T922" s="22"/>
      <c r="U922" s="24"/>
      <c r="V922" s="25"/>
      <c r="W922" s="26"/>
      <c r="Y922" s="22"/>
    </row>
    <row r="923" ht="14.25" customHeight="1">
      <c r="R923" s="22"/>
      <c r="S923" s="23"/>
      <c r="T923" s="22"/>
      <c r="U923" s="24"/>
      <c r="V923" s="25"/>
      <c r="W923" s="26"/>
      <c r="Y923" s="22"/>
    </row>
    <row r="924" ht="14.25" customHeight="1">
      <c r="R924" s="22"/>
      <c r="S924" s="23"/>
      <c r="T924" s="22"/>
      <c r="U924" s="24"/>
      <c r="V924" s="25"/>
      <c r="W924" s="26"/>
      <c r="Y924" s="22"/>
    </row>
    <row r="925" ht="14.25" customHeight="1">
      <c r="R925" s="22"/>
      <c r="S925" s="23"/>
      <c r="T925" s="22"/>
      <c r="U925" s="24"/>
      <c r="V925" s="25"/>
      <c r="W925" s="26"/>
      <c r="Y925" s="22"/>
    </row>
    <row r="926" ht="14.25" customHeight="1">
      <c r="R926" s="22"/>
      <c r="S926" s="23"/>
      <c r="T926" s="22"/>
      <c r="U926" s="24"/>
      <c r="V926" s="25"/>
      <c r="W926" s="26"/>
      <c r="Y926" s="22"/>
    </row>
    <row r="927" ht="14.25" customHeight="1">
      <c r="R927" s="22"/>
      <c r="S927" s="23"/>
      <c r="T927" s="22"/>
      <c r="U927" s="24"/>
      <c r="V927" s="25"/>
      <c r="W927" s="26"/>
      <c r="Y927" s="22"/>
    </row>
    <row r="928" ht="14.25" customHeight="1">
      <c r="R928" s="22"/>
      <c r="S928" s="23"/>
      <c r="T928" s="22"/>
      <c r="U928" s="24"/>
      <c r="V928" s="25"/>
      <c r="W928" s="26"/>
      <c r="Y928" s="22"/>
    </row>
    <row r="929" ht="14.25" customHeight="1">
      <c r="R929" s="22"/>
      <c r="S929" s="23"/>
      <c r="T929" s="22"/>
      <c r="U929" s="24"/>
      <c r="V929" s="25"/>
      <c r="W929" s="26"/>
      <c r="Y929" s="22"/>
    </row>
    <row r="930" ht="14.25" customHeight="1">
      <c r="R930" s="22"/>
      <c r="S930" s="23"/>
      <c r="T930" s="22"/>
      <c r="U930" s="24"/>
      <c r="V930" s="25"/>
      <c r="W930" s="26"/>
      <c r="Y930" s="22"/>
    </row>
    <row r="931" ht="14.25" customHeight="1">
      <c r="R931" s="22"/>
      <c r="S931" s="23"/>
      <c r="T931" s="22"/>
      <c r="U931" s="24"/>
      <c r="V931" s="25"/>
      <c r="W931" s="26"/>
      <c r="Y931" s="22"/>
    </row>
    <row r="932" ht="14.25" customHeight="1">
      <c r="R932" s="22"/>
      <c r="S932" s="23"/>
      <c r="T932" s="22"/>
      <c r="U932" s="24"/>
      <c r="V932" s="25"/>
      <c r="W932" s="26"/>
      <c r="Y932" s="22"/>
    </row>
    <row r="933" ht="14.25" customHeight="1">
      <c r="R933" s="22"/>
      <c r="S933" s="23"/>
      <c r="T933" s="22"/>
      <c r="U933" s="24"/>
      <c r="V933" s="25"/>
      <c r="W933" s="26"/>
      <c r="Y933" s="22"/>
    </row>
    <row r="934" ht="14.25" customHeight="1">
      <c r="R934" s="22"/>
      <c r="S934" s="23"/>
      <c r="T934" s="22"/>
      <c r="U934" s="24"/>
      <c r="V934" s="25"/>
      <c r="W934" s="26"/>
      <c r="Y934" s="22"/>
    </row>
    <row r="935" ht="14.25" customHeight="1">
      <c r="R935" s="22"/>
      <c r="S935" s="23"/>
      <c r="T935" s="22"/>
      <c r="U935" s="24"/>
      <c r="V935" s="25"/>
      <c r="W935" s="26"/>
      <c r="Y935" s="22"/>
    </row>
    <row r="936" ht="14.25" customHeight="1">
      <c r="R936" s="22"/>
      <c r="S936" s="23"/>
      <c r="T936" s="22"/>
      <c r="U936" s="24"/>
      <c r="V936" s="25"/>
      <c r="W936" s="26"/>
      <c r="Y936" s="22"/>
    </row>
    <row r="937" ht="14.25" customHeight="1">
      <c r="R937" s="22"/>
      <c r="S937" s="23"/>
      <c r="T937" s="22"/>
      <c r="U937" s="24"/>
      <c r="V937" s="25"/>
      <c r="W937" s="26"/>
      <c r="Y937" s="22"/>
    </row>
    <row r="938" ht="14.25" customHeight="1">
      <c r="R938" s="22"/>
      <c r="S938" s="23"/>
      <c r="T938" s="22"/>
      <c r="U938" s="24"/>
      <c r="V938" s="25"/>
      <c r="W938" s="26"/>
      <c r="Y938" s="22"/>
    </row>
    <row r="939" ht="14.25" customHeight="1">
      <c r="R939" s="22"/>
      <c r="S939" s="23"/>
      <c r="T939" s="22"/>
      <c r="U939" s="24"/>
      <c r="V939" s="25"/>
      <c r="W939" s="26"/>
      <c r="Y939" s="22"/>
    </row>
    <row r="940" ht="14.25" customHeight="1">
      <c r="R940" s="22"/>
      <c r="S940" s="23"/>
      <c r="T940" s="22"/>
      <c r="U940" s="24"/>
      <c r="V940" s="25"/>
      <c r="W940" s="26"/>
      <c r="Y940" s="22"/>
    </row>
    <row r="941" ht="14.25" customHeight="1">
      <c r="R941" s="22"/>
      <c r="S941" s="23"/>
      <c r="T941" s="22"/>
      <c r="U941" s="24"/>
      <c r="V941" s="25"/>
      <c r="W941" s="26"/>
      <c r="Y941" s="22"/>
    </row>
    <row r="942" ht="14.25" customHeight="1">
      <c r="R942" s="22"/>
      <c r="S942" s="23"/>
      <c r="T942" s="22"/>
      <c r="U942" s="24"/>
      <c r="V942" s="25"/>
      <c r="W942" s="26"/>
      <c r="Y942" s="22"/>
    </row>
    <row r="943" ht="14.25" customHeight="1">
      <c r="R943" s="22"/>
      <c r="S943" s="23"/>
      <c r="T943" s="22"/>
      <c r="U943" s="24"/>
      <c r="V943" s="25"/>
      <c r="W943" s="26"/>
      <c r="Y943" s="22"/>
    </row>
    <row r="944" ht="14.25" customHeight="1">
      <c r="R944" s="22"/>
      <c r="S944" s="23"/>
      <c r="T944" s="22"/>
      <c r="U944" s="24"/>
      <c r="V944" s="25"/>
      <c r="W944" s="26"/>
      <c r="Y944" s="22"/>
    </row>
    <row r="945" ht="14.25" customHeight="1">
      <c r="R945" s="22"/>
      <c r="S945" s="23"/>
      <c r="T945" s="22"/>
      <c r="U945" s="24"/>
      <c r="V945" s="25"/>
      <c r="W945" s="26"/>
      <c r="Y945" s="22"/>
    </row>
    <row r="946" ht="14.25" customHeight="1">
      <c r="R946" s="22"/>
      <c r="S946" s="23"/>
      <c r="T946" s="22"/>
      <c r="U946" s="24"/>
      <c r="V946" s="25"/>
      <c r="W946" s="26"/>
      <c r="Y946" s="22"/>
    </row>
    <row r="947" ht="14.25" customHeight="1">
      <c r="R947" s="22"/>
      <c r="S947" s="23"/>
      <c r="T947" s="22"/>
      <c r="U947" s="24"/>
      <c r="V947" s="25"/>
      <c r="W947" s="26"/>
      <c r="Y947" s="22"/>
    </row>
    <row r="948" ht="14.25" customHeight="1">
      <c r="R948" s="22"/>
      <c r="S948" s="23"/>
      <c r="T948" s="22"/>
      <c r="U948" s="24"/>
      <c r="V948" s="25"/>
      <c r="W948" s="26"/>
      <c r="Y948" s="22"/>
    </row>
    <row r="949" ht="14.25" customHeight="1">
      <c r="R949" s="22"/>
      <c r="S949" s="23"/>
      <c r="T949" s="22"/>
      <c r="U949" s="24"/>
      <c r="V949" s="25"/>
      <c r="W949" s="26"/>
      <c r="Y949" s="22"/>
    </row>
    <row r="950" ht="14.25" customHeight="1">
      <c r="R950" s="22"/>
      <c r="S950" s="23"/>
      <c r="T950" s="22"/>
      <c r="U950" s="24"/>
      <c r="V950" s="25"/>
      <c r="W950" s="26"/>
      <c r="Y950" s="22"/>
    </row>
    <row r="951" ht="14.25" customHeight="1">
      <c r="R951" s="22"/>
      <c r="S951" s="23"/>
      <c r="T951" s="22"/>
      <c r="U951" s="24"/>
      <c r="V951" s="25"/>
      <c r="W951" s="26"/>
      <c r="Y951" s="22"/>
    </row>
    <row r="952" ht="14.25" customHeight="1">
      <c r="R952" s="22"/>
      <c r="S952" s="23"/>
      <c r="T952" s="22"/>
      <c r="U952" s="24"/>
      <c r="V952" s="25"/>
      <c r="W952" s="26"/>
      <c r="Y952" s="22"/>
    </row>
    <row r="953" ht="14.25" customHeight="1">
      <c r="R953" s="22"/>
      <c r="S953" s="23"/>
      <c r="T953" s="22"/>
      <c r="U953" s="24"/>
      <c r="V953" s="25"/>
      <c r="W953" s="26"/>
      <c r="Y953" s="22"/>
    </row>
    <row r="954" ht="14.25" customHeight="1">
      <c r="R954" s="22"/>
      <c r="S954" s="23"/>
      <c r="T954" s="22"/>
      <c r="U954" s="24"/>
      <c r="V954" s="25"/>
      <c r="W954" s="26"/>
      <c r="Y954" s="22"/>
    </row>
    <row r="955" ht="14.25" customHeight="1">
      <c r="R955" s="22"/>
      <c r="S955" s="23"/>
      <c r="T955" s="22"/>
      <c r="U955" s="24"/>
      <c r="V955" s="25"/>
      <c r="W955" s="26"/>
      <c r="Y955" s="22"/>
    </row>
    <row r="956" ht="14.25" customHeight="1">
      <c r="R956" s="22"/>
      <c r="S956" s="23"/>
      <c r="T956" s="22"/>
      <c r="U956" s="24"/>
      <c r="V956" s="25"/>
      <c r="W956" s="26"/>
      <c r="Y956" s="22"/>
    </row>
    <row r="957" ht="14.25" customHeight="1">
      <c r="R957" s="22"/>
      <c r="S957" s="23"/>
      <c r="T957" s="22"/>
      <c r="U957" s="24"/>
      <c r="V957" s="25"/>
      <c r="W957" s="26"/>
      <c r="Y957" s="22"/>
    </row>
    <row r="958" ht="14.25" customHeight="1">
      <c r="R958" s="22"/>
      <c r="S958" s="23"/>
      <c r="T958" s="22"/>
      <c r="U958" s="24"/>
      <c r="V958" s="25"/>
      <c r="W958" s="26"/>
      <c r="Y958" s="22"/>
    </row>
    <row r="959" ht="14.25" customHeight="1">
      <c r="R959" s="22"/>
      <c r="S959" s="23"/>
      <c r="T959" s="22"/>
      <c r="U959" s="24"/>
      <c r="V959" s="25"/>
      <c r="W959" s="26"/>
      <c r="Y959" s="22"/>
    </row>
    <row r="960" ht="14.25" customHeight="1">
      <c r="R960" s="22"/>
      <c r="S960" s="23"/>
      <c r="T960" s="22"/>
      <c r="U960" s="24"/>
      <c r="V960" s="25"/>
      <c r="W960" s="26"/>
      <c r="Y960" s="22"/>
    </row>
    <row r="961" ht="14.25" customHeight="1">
      <c r="R961" s="22"/>
      <c r="S961" s="23"/>
      <c r="T961" s="22"/>
      <c r="U961" s="24"/>
      <c r="V961" s="25"/>
      <c r="W961" s="26"/>
      <c r="Y961" s="22"/>
    </row>
    <row r="962" ht="14.25" customHeight="1">
      <c r="R962" s="22"/>
      <c r="S962" s="23"/>
      <c r="T962" s="22"/>
      <c r="U962" s="24"/>
      <c r="V962" s="25"/>
      <c r="W962" s="26"/>
      <c r="Y962" s="22"/>
    </row>
    <row r="963" ht="14.25" customHeight="1">
      <c r="R963" s="22"/>
      <c r="S963" s="23"/>
      <c r="T963" s="22"/>
      <c r="U963" s="24"/>
      <c r="V963" s="25"/>
      <c r="W963" s="26"/>
      <c r="Y963" s="22"/>
    </row>
    <row r="964" ht="14.25" customHeight="1">
      <c r="R964" s="22"/>
      <c r="S964" s="23"/>
      <c r="T964" s="22"/>
      <c r="U964" s="24"/>
      <c r="V964" s="25"/>
      <c r="W964" s="26"/>
      <c r="Y964" s="22"/>
    </row>
    <row r="965" ht="14.25" customHeight="1">
      <c r="R965" s="22"/>
      <c r="S965" s="23"/>
      <c r="T965" s="22"/>
      <c r="U965" s="24"/>
      <c r="V965" s="25"/>
      <c r="W965" s="26"/>
      <c r="Y965" s="22"/>
    </row>
    <row r="966" ht="14.25" customHeight="1">
      <c r="R966" s="22"/>
      <c r="S966" s="23"/>
      <c r="T966" s="22"/>
      <c r="U966" s="24"/>
      <c r="V966" s="25"/>
      <c r="W966" s="26"/>
      <c r="Y966" s="22"/>
    </row>
    <row r="967" ht="14.25" customHeight="1">
      <c r="R967" s="22"/>
      <c r="S967" s="23"/>
      <c r="T967" s="22"/>
      <c r="U967" s="24"/>
      <c r="V967" s="25"/>
      <c r="W967" s="26"/>
      <c r="Y967" s="22"/>
    </row>
    <row r="968" ht="14.25" customHeight="1">
      <c r="R968" s="22"/>
      <c r="S968" s="23"/>
      <c r="T968" s="22"/>
      <c r="U968" s="24"/>
      <c r="V968" s="25"/>
      <c r="W968" s="26"/>
      <c r="Y968" s="22"/>
    </row>
    <row r="969" ht="14.25" customHeight="1">
      <c r="R969" s="22"/>
      <c r="S969" s="23"/>
      <c r="T969" s="22"/>
      <c r="U969" s="24"/>
      <c r="V969" s="25"/>
      <c r="W969" s="26"/>
      <c r="Y969" s="22"/>
    </row>
    <row r="970" ht="14.25" customHeight="1">
      <c r="R970" s="22"/>
      <c r="S970" s="23"/>
      <c r="T970" s="22"/>
      <c r="U970" s="24"/>
      <c r="V970" s="25"/>
      <c r="W970" s="26"/>
      <c r="Y970" s="22"/>
    </row>
    <row r="971" ht="14.25" customHeight="1">
      <c r="R971" s="22"/>
      <c r="S971" s="23"/>
      <c r="T971" s="22"/>
      <c r="U971" s="24"/>
      <c r="V971" s="25"/>
      <c r="W971" s="26"/>
      <c r="Y971" s="22"/>
    </row>
    <row r="972" ht="14.25" customHeight="1">
      <c r="R972" s="22"/>
      <c r="S972" s="23"/>
      <c r="T972" s="22"/>
      <c r="U972" s="24"/>
      <c r="V972" s="25"/>
      <c r="W972" s="26"/>
      <c r="Y972" s="22"/>
    </row>
    <row r="973" ht="14.25" customHeight="1">
      <c r="R973" s="22"/>
      <c r="S973" s="23"/>
      <c r="T973" s="22"/>
      <c r="U973" s="24"/>
      <c r="V973" s="25"/>
      <c r="W973" s="26"/>
      <c r="Y973" s="22"/>
    </row>
    <row r="974" ht="14.25" customHeight="1">
      <c r="R974" s="22"/>
      <c r="S974" s="23"/>
      <c r="T974" s="22"/>
      <c r="U974" s="24"/>
      <c r="V974" s="25"/>
      <c r="W974" s="26"/>
      <c r="Y974" s="22"/>
    </row>
    <row r="975" ht="14.25" customHeight="1">
      <c r="R975" s="22"/>
      <c r="S975" s="23"/>
      <c r="T975" s="22"/>
      <c r="U975" s="24"/>
      <c r="V975" s="25"/>
      <c r="W975" s="26"/>
      <c r="Y975" s="22"/>
    </row>
    <row r="976" ht="14.25" customHeight="1">
      <c r="R976" s="22"/>
      <c r="S976" s="23"/>
      <c r="T976" s="22"/>
      <c r="U976" s="24"/>
      <c r="V976" s="25"/>
      <c r="W976" s="26"/>
      <c r="Y976" s="22"/>
    </row>
    <row r="977" ht="14.25" customHeight="1">
      <c r="R977" s="22"/>
      <c r="S977" s="23"/>
      <c r="T977" s="22"/>
      <c r="U977" s="24"/>
      <c r="V977" s="25"/>
      <c r="W977" s="26"/>
      <c r="Y977" s="22"/>
    </row>
    <row r="978" ht="14.25" customHeight="1">
      <c r="R978" s="22"/>
      <c r="S978" s="23"/>
      <c r="T978" s="22"/>
      <c r="U978" s="24"/>
      <c r="V978" s="25"/>
      <c r="W978" s="26"/>
      <c r="Y978" s="22"/>
    </row>
    <row r="979" ht="14.25" customHeight="1">
      <c r="R979" s="22"/>
      <c r="S979" s="23"/>
      <c r="T979" s="22"/>
      <c r="U979" s="24"/>
      <c r="V979" s="25"/>
      <c r="W979" s="26"/>
      <c r="Y979" s="22"/>
    </row>
    <row r="980" ht="14.25" customHeight="1">
      <c r="R980" s="22"/>
      <c r="S980" s="23"/>
      <c r="T980" s="22"/>
      <c r="U980" s="24"/>
      <c r="V980" s="25"/>
      <c r="W980" s="26"/>
      <c r="Y980" s="22"/>
    </row>
    <row r="981" ht="14.25" customHeight="1">
      <c r="R981" s="22"/>
      <c r="S981" s="23"/>
      <c r="T981" s="22"/>
      <c r="U981" s="24"/>
      <c r="V981" s="25"/>
      <c r="W981" s="26"/>
      <c r="Y981" s="22"/>
    </row>
    <row r="982" ht="14.25" customHeight="1">
      <c r="R982" s="22"/>
      <c r="S982" s="23"/>
      <c r="T982" s="22"/>
      <c r="U982" s="24"/>
      <c r="V982" s="25"/>
      <c r="W982" s="26"/>
      <c r="Y982" s="22"/>
    </row>
    <row r="983" ht="14.25" customHeight="1">
      <c r="R983" s="22"/>
      <c r="S983" s="23"/>
      <c r="T983" s="22"/>
      <c r="U983" s="24"/>
      <c r="V983" s="25"/>
      <c r="W983" s="26"/>
      <c r="Y983" s="22"/>
    </row>
    <row r="984" ht="14.25" customHeight="1">
      <c r="R984" s="22"/>
      <c r="S984" s="23"/>
      <c r="T984" s="22"/>
      <c r="U984" s="24"/>
      <c r="V984" s="25"/>
      <c r="W984" s="26"/>
      <c r="Y984" s="22"/>
    </row>
    <row r="985" ht="14.25" customHeight="1">
      <c r="R985" s="22"/>
      <c r="S985" s="23"/>
      <c r="T985" s="22"/>
      <c r="U985" s="24"/>
      <c r="V985" s="25"/>
      <c r="W985" s="26"/>
      <c r="Y985" s="22"/>
    </row>
    <row r="986" ht="14.25" customHeight="1">
      <c r="R986" s="22"/>
      <c r="S986" s="23"/>
      <c r="T986" s="22"/>
      <c r="U986" s="24"/>
      <c r="V986" s="25"/>
      <c r="W986" s="26"/>
      <c r="Y986" s="22"/>
    </row>
    <row r="987" ht="14.25" customHeight="1">
      <c r="R987" s="22"/>
      <c r="S987" s="23"/>
      <c r="T987" s="22"/>
      <c r="U987" s="24"/>
      <c r="V987" s="25"/>
      <c r="W987" s="26"/>
      <c r="Y987" s="22"/>
    </row>
    <row r="988" ht="14.25" customHeight="1">
      <c r="R988" s="22"/>
      <c r="S988" s="23"/>
      <c r="T988" s="22"/>
      <c r="U988" s="24"/>
      <c r="V988" s="25"/>
      <c r="W988" s="26"/>
      <c r="Y988" s="22"/>
    </row>
    <row r="989" ht="14.25" customHeight="1">
      <c r="R989" s="22"/>
      <c r="S989" s="23"/>
      <c r="T989" s="22"/>
      <c r="U989" s="24"/>
      <c r="V989" s="25"/>
      <c r="W989" s="26"/>
      <c r="Y989" s="22"/>
    </row>
    <row r="990" ht="14.25" customHeight="1">
      <c r="R990" s="22"/>
      <c r="S990" s="23"/>
      <c r="T990" s="22"/>
      <c r="U990" s="24"/>
      <c r="V990" s="25"/>
      <c r="W990" s="26"/>
      <c r="Y990" s="22"/>
    </row>
    <row r="991" ht="14.25" customHeight="1">
      <c r="R991" s="22"/>
      <c r="S991" s="23"/>
      <c r="T991" s="22"/>
      <c r="U991" s="24"/>
      <c r="V991" s="25"/>
      <c r="W991" s="26"/>
      <c r="Y991" s="22"/>
    </row>
    <row r="992" ht="14.25" customHeight="1">
      <c r="R992" s="22"/>
      <c r="S992" s="23"/>
      <c r="T992" s="22"/>
      <c r="U992" s="24"/>
      <c r="V992" s="25"/>
      <c r="W992" s="26"/>
      <c r="Y992" s="22"/>
    </row>
    <row r="993" ht="14.25" customHeight="1">
      <c r="R993" s="22"/>
      <c r="S993" s="23"/>
      <c r="T993" s="22"/>
      <c r="U993" s="24"/>
      <c r="V993" s="25"/>
      <c r="W993" s="26"/>
      <c r="Y993" s="22"/>
    </row>
    <row r="994" ht="14.25" customHeight="1">
      <c r="R994" s="22"/>
      <c r="S994" s="23"/>
      <c r="T994" s="22"/>
      <c r="U994" s="24"/>
      <c r="V994" s="25"/>
      <c r="W994" s="26"/>
      <c r="Y994" s="22"/>
    </row>
    <row r="995" ht="14.25" customHeight="1">
      <c r="R995" s="22"/>
      <c r="S995" s="23"/>
      <c r="T995" s="22"/>
      <c r="U995" s="24"/>
      <c r="V995" s="25"/>
      <c r="W995" s="26"/>
      <c r="Y995" s="22"/>
    </row>
    <row r="996" ht="14.25" customHeight="1">
      <c r="R996" s="22"/>
      <c r="S996" s="23"/>
      <c r="T996" s="22"/>
      <c r="U996" s="24"/>
      <c r="V996" s="25"/>
      <c r="W996" s="26"/>
      <c r="Y996" s="22"/>
    </row>
    <row r="997" ht="14.25" customHeight="1">
      <c r="R997" s="22"/>
      <c r="S997" s="23"/>
      <c r="T997" s="22"/>
      <c r="U997" s="24"/>
      <c r="V997" s="25"/>
      <c r="W997" s="26"/>
      <c r="Y997" s="22"/>
    </row>
    <row r="998" ht="14.25" customHeight="1">
      <c r="R998" s="22"/>
      <c r="S998" s="23"/>
      <c r="T998" s="22"/>
      <c r="U998" s="24"/>
      <c r="V998" s="25"/>
      <c r="W998" s="26"/>
      <c r="Y998" s="22"/>
    </row>
    <row r="999" ht="14.25" customHeight="1">
      <c r="R999" s="22"/>
      <c r="S999" s="23"/>
      <c r="T999" s="22"/>
      <c r="U999" s="24"/>
      <c r="V999" s="25"/>
      <c r="W999" s="26"/>
      <c r="Y999" s="22"/>
    </row>
    <row r="1000" ht="14.25" customHeight="1">
      <c r="R1000" s="22"/>
      <c r="S1000" s="23"/>
      <c r="T1000" s="22"/>
      <c r="U1000" s="24"/>
      <c r="V1000" s="25"/>
      <c r="W1000" s="26"/>
      <c r="Y1000" s="22"/>
    </row>
  </sheetData>
  <customSheetViews>
    <customSheetView guid="{1A5474B1-394C-457A-9279-94F732A01B8E}" filter="1" showAutoFilter="1">
      <autoFilter ref="$A$5:$AA$222"/>
      <extLst>
        <ext uri="GoogleSheetsCustomDataVersion1">
          <go:sheetsCustomData xmlns:go="http://customooxmlschemas.google.com/" filterViewId="81328062"/>
        </ext>
      </extLst>
    </customSheetView>
  </customSheetViews>
  <mergeCells count="2">
    <mergeCell ref="A1:AA1"/>
    <mergeCell ref="A2:AA2"/>
  </mergeCells>
  <dataValidations>
    <dataValidation type="list" allowBlank="1" sqref="F6:F222">
      <formula1>"ATIVA,PARALISADA,EXTINTA,EM REGULARIZAÇÃO"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5"/>
    <col customWidth="1" min="2" max="2" width="10.75"/>
    <col customWidth="1" min="3" max="3" width="7.0"/>
    <col customWidth="1" min="4" max="4" width="9.63"/>
    <col customWidth="1" min="5" max="6" width="7.0"/>
    <col customWidth="1" min="7" max="7" width="7.25"/>
    <col customWidth="1" min="8" max="8" width="7.0"/>
    <col customWidth="1" min="9" max="9" width="7.25"/>
    <col customWidth="1" min="10" max="10" width="8.5"/>
    <col customWidth="1" min="11" max="11" width="8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>
      <c r="A58" s="91"/>
      <c r="C58" s="96"/>
      <c r="D58" s="96"/>
      <c r="E58" s="96"/>
      <c r="F58" s="96"/>
      <c r="G58" s="96"/>
      <c r="H58" s="96"/>
      <c r="I58" s="96"/>
      <c r="J58" s="96"/>
      <c r="K58" s="91"/>
    </row>
    <row r="59">
      <c r="C59" s="22"/>
      <c r="D59" s="22"/>
      <c r="E59" s="22"/>
      <c r="F59" s="22"/>
      <c r="G59" s="22"/>
      <c r="H59" s="22"/>
      <c r="I59" s="22"/>
      <c r="J59" s="22"/>
    </row>
    <row r="60">
      <c r="C60" s="22"/>
      <c r="D60" s="22"/>
      <c r="E60" s="22"/>
      <c r="F60" s="22"/>
      <c r="G60" s="22"/>
      <c r="H60" s="22"/>
      <c r="I60" s="22"/>
      <c r="J60" s="22"/>
    </row>
    <row r="61">
      <c r="C61" s="22"/>
      <c r="D61" s="22"/>
      <c r="E61" s="22"/>
      <c r="F61" s="22"/>
      <c r="G61" s="22"/>
      <c r="H61" s="22"/>
      <c r="I61" s="22"/>
      <c r="J61" s="22"/>
    </row>
    <row r="62">
      <c r="C62" s="22"/>
      <c r="D62" s="22"/>
      <c r="E62" s="22"/>
      <c r="F62" s="22"/>
      <c r="G62" s="22"/>
      <c r="H62" s="22"/>
      <c r="I62" s="22"/>
      <c r="J62" s="22"/>
    </row>
    <row r="63">
      <c r="C63" s="22"/>
      <c r="D63" s="22"/>
      <c r="E63" s="22"/>
      <c r="F63" s="22"/>
      <c r="G63" s="22"/>
      <c r="H63" s="22"/>
      <c r="I63" s="22"/>
      <c r="J63" s="22"/>
    </row>
    <row r="64">
      <c r="C64" s="22"/>
      <c r="D64" s="22"/>
      <c r="E64" s="22"/>
      <c r="F64" s="22"/>
      <c r="G64" s="22"/>
      <c r="H64" s="22"/>
      <c r="I64" s="22"/>
      <c r="J64" s="22"/>
    </row>
    <row r="65">
      <c r="C65" s="22"/>
      <c r="D65" s="22"/>
      <c r="E65" s="22"/>
      <c r="F65" s="22"/>
      <c r="G65" s="22"/>
      <c r="H65" s="22"/>
      <c r="I65" s="22"/>
      <c r="J65" s="22"/>
    </row>
    <row r="66">
      <c r="C66" s="22"/>
      <c r="D66" s="22"/>
      <c r="E66" s="22"/>
      <c r="F66" s="22"/>
      <c r="G66" s="22"/>
      <c r="H66" s="22"/>
      <c r="I66" s="22"/>
      <c r="J66" s="22"/>
    </row>
    <row r="67">
      <c r="C67" s="22"/>
      <c r="D67" s="22"/>
      <c r="E67" s="22"/>
      <c r="F67" s="22"/>
      <c r="G67" s="22"/>
      <c r="H67" s="22"/>
      <c r="I67" s="22"/>
      <c r="J67" s="22"/>
    </row>
    <row r="68">
      <c r="C68" s="22"/>
      <c r="D68" s="22"/>
      <c r="E68" s="22"/>
      <c r="F68" s="22"/>
      <c r="G68" s="22"/>
      <c r="H68" s="22"/>
      <c r="I68" s="22"/>
      <c r="J68" s="22"/>
    </row>
    <row r="69">
      <c r="C69" s="22"/>
      <c r="D69" s="22"/>
      <c r="E69" s="22"/>
      <c r="F69" s="22"/>
      <c r="G69" s="22"/>
      <c r="H69" s="22"/>
      <c r="I69" s="22"/>
      <c r="J69" s="22"/>
    </row>
    <row r="70">
      <c r="C70" s="22"/>
      <c r="D70" s="22"/>
      <c r="E70" s="22"/>
      <c r="F70" s="22"/>
      <c r="G70" s="22"/>
      <c r="H70" s="22"/>
      <c r="I70" s="22"/>
      <c r="J70" s="22"/>
    </row>
    <row r="71">
      <c r="C71" s="22"/>
      <c r="D71" s="22"/>
      <c r="E71" s="22"/>
      <c r="F71" s="22"/>
      <c r="G71" s="22"/>
      <c r="H71" s="22"/>
      <c r="I71" s="22"/>
      <c r="J71" s="22"/>
    </row>
    <row r="72">
      <c r="C72" s="22"/>
      <c r="D72" s="22"/>
      <c r="E72" s="22"/>
      <c r="F72" s="22"/>
      <c r="G72" s="22"/>
      <c r="H72" s="22"/>
      <c r="I72" s="22"/>
      <c r="J72" s="22"/>
    </row>
    <row r="73">
      <c r="C73" s="22"/>
      <c r="D73" s="22"/>
      <c r="E73" s="22"/>
      <c r="F73" s="22"/>
      <c r="G73" s="22"/>
      <c r="H73" s="22"/>
      <c r="I73" s="22"/>
      <c r="J73" s="22"/>
    </row>
    <row r="74">
      <c r="C74" s="22"/>
      <c r="D74" s="22"/>
      <c r="E74" s="22"/>
      <c r="F74" s="22"/>
      <c r="G74" s="22"/>
      <c r="H74" s="22"/>
      <c r="I74" s="22"/>
      <c r="J74" s="22"/>
    </row>
    <row r="75">
      <c r="C75" s="22"/>
      <c r="D75" s="22"/>
      <c r="E75" s="22"/>
      <c r="F75" s="22"/>
      <c r="G75" s="22"/>
      <c r="H75" s="22"/>
      <c r="I75" s="22"/>
      <c r="J75" s="22"/>
    </row>
    <row r="76">
      <c r="C76" s="22"/>
      <c r="D76" s="22"/>
      <c r="E76" s="22"/>
      <c r="F76" s="22"/>
      <c r="G76" s="22"/>
      <c r="H76" s="22"/>
      <c r="I76" s="22"/>
      <c r="J76" s="22"/>
    </row>
    <row r="77">
      <c r="C77" s="22"/>
      <c r="D77" s="22"/>
      <c r="E77" s="22"/>
      <c r="F77" s="22"/>
      <c r="G77" s="22"/>
      <c r="H77" s="22"/>
      <c r="I77" s="22"/>
      <c r="J77" s="22"/>
    </row>
    <row r="78">
      <c r="C78" s="22"/>
      <c r="D78" s="22"/>
      <c r="E78" s="22"/>
      <c r="F78" s="22"/>
      <c r="G78" s="22"/>
      <c r="H78" s="22"/>
      <c r="I78" s="22"/>
      <c r="J78" s="22"/>
    </row>
    <row r="79">
      <c r="C79" s="22"/>
      <c r="D79" s="22"/>
      <c r="E79" s="22"/>
      <c r="F79" s="22"/>
      <c r="G79" s="22"/>
      <c r="H79" s="22"/>
      <c r="I79" s="22"/>
      <c r="J79" s="22"/>
    </row>
    <row r="80">
      <c r="C80" s="22"/>
      <c r="D80" s="22"/>
      <c r="E80" s="22"/>
      <c r="F80" s="22"/>
      <c r="G80" s="22"/>
      <c r="H80" s="22"/>
      <c r="I80" s="22"/>
      <c r="J80" s="22"/>
    </row>
    <row r="81">
      <c r="C81" s="22"/>
      <c r="D81" s="22"/>
      <c r="E81" s="22"/>
      <c r="F81" s="22"/>
      <c r="G81" s="22"/>
      <c r="H81" s="22"/>
      <c r="I81" s="22"/>
      <c r="J81" s="22"/>
    </row>
    <row r="82">
      <c r="C82" s="22"/>
      <c r="D82" s="22"/>
      <c r="E82" s="22"/>
      <c r="F82" s="22"/>
      <c r="G82" s="22"/>
      <c r="H82" s="22"/>
      <c r="I82" s="22"/>
      <c r="J82" s="22"/>
    </row>
    <row r="83">
      <c r="C83" s="22"/>
      <c r="D83" s="22"/>
      <c r="E83" s="22"/>
      <c r="F83" s="22"/>
      <c r="G83" s="22"/>
      <c r="H83" s="22"/>
      <c r="I83" s="22"/>
      <c r="J83" s="22"/>
    </row>
    <row r="84">
      <c r="C84" s="22"/>
      <c r="D84" s="22"/>
      <c r="E84" s="22"/>
      <c r="F84" s="22"/>
      <c r="G84" s="22"/>
      <c r="H84" s="22"/>
      <c r="I84" s="22"/>
      <c r="J84" s="22"/>
    </row>
    <row r="85">
      <c r="C85" s="22"/>
      <c r="D85" s="22"/>
      <c r="E85" s="22"/>
      <c r="F85" s="22"/>
      <c r="G85" s="22"/>
      <c r="H85" s="22"/>
      <c r="I85" s="22"/>
      <c r="J85" s="22"/>
    </row>
    <row r="86">
      <c r="C86" s="22"/>
      <c r="D86" s="22"/>
      <c r="E86" s="22"/>
      <c r="F86" s="22"/>
      <c r="G86" s="22"/>
      <c r="H86" s="22"/>
      <c r="I86" s="22"/>
      <c r="J86" s="22"/>
    </row>
    <row r="87">
      <c r="C87" s="22"/>
      <c r="D87" s="22"/>
      <c r="E87" s="22"/>
      <c r="F87" s="22"/>
      <c r="G87" s="22"/>
      <c r="H87" s="22"/>
      <c r="I87" s="22"/>
      <c r="J87" s="22"/>
    </row>
    <row r="88">
      <c r="C88" s="22"/>
      <c r="D88" s="22"/>
      <c r="E88" s="22"/>
      <c r="F88" s="22"/>
      <c r="G88" s="22"/>
      <c r="H88" s="22"/>
      <c r="I88" s="22"/>
      <c r="J88" s="22"/>
    </row>
    <row r="89">
      <c r="C89" s="22"/>
      <c r="D89" s="22"/>
      <c r="E89" s="22"/>
      <c r="F89" s="22"/>
      <c r="G89" s="22"/>
      <c r="H89" s="22"/>
      <c r="I89" s="22"/>
      <c r="J89" s="22"/>
    </row>
    <row r="90">
      <c r="C90" s="22"/>
      <c r="D90" s="22"/>
      <c r="E90" s="22"/>
      <c r="F90" s="22"/>
      <c r="G90" s="22"/>
      <c r="H90" s="22"/>
      <c r="I90" s="22"/>
      <c r="J90" s="22"/>
    </row>
    <row r="91">
      <c r="C91" s="22"/>
      <c r="D91" s="22"/>
      <c r="E91" s="22"/>
      <c r="F91" s="22"/>
      <c r="G91" s="22"/>
      <c r="H91" s="22"/>
      <c r="I91" s="22"/>
      <c r="J91" s="22"/>
    </row>
    <row r="92">
      <c r="C92" s="22"/>
      <c r="D92" s="22"/>
      <c r="E92" s="22"/>
      <c r="F92" s="22"/>
      <c r="G92" s="22"/>
      <c r="H92" s="22"/>
      <c r="I92" s="22"/>
      <c r="J92" s="22"/>
    </row>
    <row r="93">
      <c r="C93" s="22"/>
      <c r="D93" s="22"/>
      <c r="E93" s="22"/>
      <c r="F93" s="22"/>
      <c r="G93" s="22"/>
      <c r="H93" s="22"/>
      <c r="I93" s="22"/>
      <c r="J93" s="22"/>
    </row>
    <row r="94">
      <c r="C94" s="22"/>
      <c r="D94" s="22"/>
      <c r="E94" s="22"/>
      <c r="F94" s="22"/>
      <c r="G94" s="22"/>
      <c r="H94" s="22"/>
      <c r="I94" s="22"/>
      <c r="J94" s="22"/>
    </row>
    <row r="95">
      <c r="C95" s="22"/>
      <c r="D95" s="22"/>
      <c r="E95" s="22"/>
      <c r="F95" s="22"/>
      <c r="G95" s="22"/>
      <c r="H95" s="22"/>
      <c r="I95" s="22"/>
      <c r="J95" s="22"/>
    </row>
    <row r="96">
      <c r="C96" s="22"/>
      <c r="D96" s="22"/>
      <c r="E96" s="22"/>
      <c r="F96" s="22"/>
      <c r="G96" s="22"/>
      <c r="H96" s="22"/>
      <c r="I96" s="22"/>
      <c r="J96" s="22"/>
    </row>
    <row r="97">
      <c r="C97" s="22"/>
      <c r="D97" s="22"/>
      <c r="E97" s="22"/>
      <c r="F97" s="22"/>
      <c r="G97" s="22"/>
      <c r="H97" s="22"/>
      <c r="I97" s="22"/>
      <c r="J97" s="22"/>
    </row>
    <row r="98">
      <c r="C98" s="22"/>
      <c r="D98" s="22"/>
      <c r="E98" s="22"/>
      <c r="F98" s="22"/>
      <c r="G98" s="22"/>
      <c r="H98" s="22"/>
      <c r="I98" s="22"/>
      <c r="J98" s="22"/>
    </row>
    <row r="99">
      <c r="C99" s="22"/>
      <c r="D99" s="22"/>
      <c r="E99" s="22"/>
      <c r="F99" s="22"/>
      <c r="G99" s="22"/>
      <c r="H99" s="22"/>
      <c r="I99" s="22"/>
      <c r="J99" s="22"/>
    </row>
    <row r="100">
      <c r="C100" s="22"/>
      <c r="D100" s="22"/>
      <c r="E100" s="22"/>
      <c r="F100" s="22"/>
      <c r="G100" s="22"/>
      <c r="H100" s="22"/>
      <c r="I100" s="22"/>
      <c r="J100" s="22"/>
    </row>
    <row r="101">
      <c r="C101" s="22"/>
      <c r="D101" s="22"/>
      <c r="E101" s="22"/>
      <c r="F101" s="22"/>
      <c r="G101" s="22"/>
      <c r="H101" s="22"/>
      <c r="I101" s="22"/>
      <c r="J101" s="22"/>
    </row>
    <row r="102">
      <c r="C102" s="22"/>
      <c r="D102" s="22"/>
      <c r="E102" s="22"/>
      <c r="F102" s="22"/>
      <c r="G102" s="22"/>
      <c r="H102" s="22"/>
      <c r="I102" s="22"/>
      <c r="J102" s="22"/>
    </row>
    <row r="103">
      <c r="C103" s="22"/>
      <c r="D103" s="22"/>
      <c r="E103" s="22"/>
      <c r="F103" s="22"/>
      <c r="G103" s="22"/>
      <c r="H103" s="22"/>
      <c r="I103" s="22"/>
      <c r="J103" s="22"/>
    </row>
    <row r="104">
      <c r="C104" s="22"/>
      <c r="D104" s="22"/>
      <c r="E104" s="22"/>
      <c r="F104" s="22"/>
      <c r="G104" s="22"/>
      <c r="H104" s="22"/>
      <c r="I104" s="22"/>
      <c r="J104" s="22"/>
    </row>
    <row r="105">
      <c r="C105" s="22"/>
      <c r="D105" s="22"/>
      <c r="E105" s="22"/>
      <c r="F105" s="22"/>
      <c r="G105" s="22"/>
      <c r="H105" s="22"/>
      <c r="I105" s="22"/>
      <c r="J105" s="22"/>
    </row>
    <row r="106">
      <c r="C106" s="22"/>
      <c r="D106" s="22"/>
      <c r="E106" s="22"/>
      <c r="F106" s="22"/>
      <c r="G106" s="22"/>
      <c r="H106" s="22"/>
      <c r="I106" s="22"/>
      <c r="J106" s="22"/>
    </row>
    <row r="107">
      <c r="C107" s="22"/>
      <c r="D107" s="22"/>
      <c r="E107" s="22"/>
      <c r="F107" s="22"/>
      <c r="G107" s="22"/>
      <c r="H107" s="22"/>
      <c r="I107" s="22"/>
      <c r="J107" s="22"/>
    </row>
    <row r="108">
      <c r="C108" s="22"/>
      <c r="D108" s="22"/>
      <c r="E108" s="22"/>
      <c r="F108" s="22"/>
      <c r="G108" s="22"/>
      <c r="H108" s="22"/>
      <c r="I108" s="22"/>
      <c r="J108" s="22"/>
    </row>
    <row r="109">
      <c r="C109" s="22"/>
      <c r="D109" s="22"/>
      <c r="E109" s="22"/>
      <c r="F109" s="22"/>
      <c r="G109" s="22"/>
      <c r="H109" s="22"/>
      <c r="I109" s="22"/>
      <c r="J109" s="22"/>
    </row>
    <row r="110">
      <c r="C110" s="22"/>
      <c r="D110" s="22"/>
      <c r="E110" s="22"/>
      <c r="F110" s="22"/>
      <c r="G110" s="22"/>
      <c r="H110" s="22"/>
      <c r="I110" s="22"/>
      <c r="J110" s="22"/>
    </row>
    <row r="111">
      <c r="C111" s="22"/>
      <c r="D111" s="22"/>
      <c r="E111" s="22"/>
      <c r="F111" s="22"/>
      <c r="G111" s="22"/>
      <c r="H111" s="22"/>
      <c r="I111" s="22"/>
      <c r="J111" s="22"/>
    </row>
    <row r="112">
      <c r="C112" s="22"/>
      <c r="D112" s="22"/>
      <c r="E112" s="22"/>
      <c r="F112" s="22"/>
      <c r="G112" s="22"/>
      <c r="H112" s="22"/>
      <c r="I112" s="22"/>
      <c r="J112" s="22"/>
    </row>
    <row r="113">
      <c r="C113" s="22"/>
      <c r="D113" s="22"/>
      <c r="E113" s="22"/>
      <c r="F113" s="22"/>
      <c r="G113" s="22"/>
      <c r="H113" s="22"/>
      <c r="I113" s="22"/>
      <c r="J113" s="22"/>
    </row>
    <row r="114">
      <c r="C114" s="22"/>
      <c r="D114" s="22"/>
      <c r="E114" s="22"/>
      <c r="F114" s="22"/>
      <c r="G114" s="22"/>
      <c r="H114" s="22"/>
      <c r="I114" s="22"/>
      <c r="J114" s="22"/>
    </row>
    <row r="115">
      <c r="C115" s="22"/>
      <c r="D115" s="22"/>
      <c r="E115" s="22"/>
      <c r="F115" s="22"/>
      <c r="G115" s="22"/>
      <c r="H115" s="22"/>
      <c r="I115" s="22"/>
      <c r="J115" s="22"/>
    </row>
    <row r="116">
      <c r="C116" s="22"/>
      <c r="D116" s="22"/>
      <c r="E116" s="22"/>
      <c r="F116" s="22"/>
      <c r="G116" s="22"/>
      <c r="H116" s="22"/>
      <c r="I116" s="22"/>
      <c r="J116" s="22"/>
    </row>
    <row r="117">
      <c r="C117" s="22"/>
      <c r="D117" s="22"/>
      <c r="E117" s="22"/>
      <c r="F117" s="22"/>
      <c r="G117" s="22"/>
      <c r="H117" s="22"/>
      <c r="I117" s="22"/>
      <c r="J117" s="22"/>
    </row>
    <row r="118">
      <c r="C118" s="22"/>
      <c r="D118" s="22"/>
      <c r="E118" s="22"/>
      <c r="F118" s="22"/>
      <c r="G118" s="22"/>
      <c r="H118" s="22"/>
      <c r="I118" s="22"/>
      <c r="J118" s="22"/>
    </row>
    <row r="119">
      <c r="C119" s="22"/>
      <c r="D119" s="22"/>
      <c r="E119" s="22"/>
      <c r="F119" s="22"/>
      <c r="G119" s="22"/>
      <c r="H119" s="22"/>
      <c r="I119" s="22"/>
      <c r="J119" s="22"/>
    </row>
    <row r="120">
      <c r="C120" s="22"/>
      <c r="D120" s="22"/>
      <c r="E120" s="22"/>
      <c r="F120" s="22"/>
      <c r="G120" s="22"/>
      <c r="H120" s="22"/>
      <c r="I120" s="22"/>
      <c r="J120" s="22"/>
    </row>
    <row r="121">
      <c r="C121" s="22"/>
      <c r="D121" s="22"/>
      <c r="E121" s="22"/>
      <c r="F121" s="22"/>
      <c r="G121" s="22"/>
      <c r="H121" s="22"/>
      <c r="I121" s="22"/>
      <c r="J121" s="22"/>
    </row>
    <row r="122">
      <c r="C122" s="22"/>
      <c r="D122" s="22"/>
      <c r="E122" s="22"/>
      <c r="F122" s="22"/>
      <c r="G122" s="22"/>
      <c r="H122" s="22"/>
      <c r="I122" s="22"/>
      <c r="J122" s="22"/>
    </row>
    <row r="123">
      <c r="C123" s="22"/>
      <c r="D123" s="22"/>
      <c r="E123" s="22"/>
      <c r="F123" s="22"/>
      <c r="G123" s="22"/>
      <c r="H123" s="22"/>
      <c r="I123" s="22"/>
      <c r="J123" s="22"/>
    </row>
    <row r="124">
      <c r="C124" s="22"/>
      <c r="D124" s="22"/>
      <c r="E124" s="22"/>
      <c r="F124" s="22"/>
      <c r="G124" s="22"/>
      <c r="H124" s="22"/>
      <c r="I124" s="22"/>
      <c r="J124" s="22"/>
    </row>
    <row r="125">
      <c r="C125" s="22"/>
      <c r="D125" s="22"/>
      <c r="E125" s="22"/>
      <c r="F125" s="22"/>
      <c r="G125" s="22"/>
      <c r="H125" s="22"/>
      <c r="I125" s="22"/>
      <c r="J125" s="22"/>
    </row>
    <row r="126">
      <c r="C126" s="22"/>
      <c r="D126" s="22"/>
      <c r="E126" s="22"/>
      <c r="F126" s="22"/>
      <c r="G126" s="22"/>
      <c r="H126" s="22"/>
      <c r="I126" s="22"/>
      <c r="J126" s="22"/>
    </row>
    <row r="127">
      <c r="C127" s="22"/>
      <c r="D127" s="22"/>
      <c r="E127" s="22"/>
      <c r="F127" s="22"/>
      <c r="G127" s="22"/>
      <c r="H127" s="22"/>
      <c r="I127" s="22"/>
      <c r="J127" s="22"/>
    </row>
    <row r="128">
      <c r="C128" s="22"/>
      <c r="D128" s="22"/>
      <c r="E128" s="22"/>
      <c r="F128" s="22"/>
      <c r="G128" s="22"/>
      <c r="H128" s="22"/>
      <c r="I128" s="22"/>
      <c r="J128" s="22"/>
    </row>
    <row r="129">
      <c r="C129" s="22"/>
      <c r="D129" s="22"/>
      <c r="E129" s="22"/>
      <c r="F129" s="22"/>
      <c r="G129" s="22"/>
      <c r="H129" s="22"/>
      <c r="I129" s="22"/>
      <c r="J129" s="22"/>
    </row>
    <row r="130">
      <c r="C130" s="22"/>
      <c r="D130" s="22"/>
      <c r="E130" s="22"/>
      <c r="F130" s="22"/>
      <c r="G130" s="22"/>
      <c r="H130" s="22"/>
      <c r="I130" s="22"/>
      <c r="J130" s="22"/>
    </row>
    <row r="131">
      <c r="C131" s="22"/>
      <c r="D131" s="22"/>
      <c r="E131" s="22"/>
      <c r="F131" s="22"/>
      <c r="G131" s="22"/>
      <c r="H131" s="22"/>
      <c r="I131" s="22"/>
      <c r="J131" s="22"/>
    </row>
    <row r="132">
      <c r="C132" s="22"/>
      <c r="D132" s="22"/>
      <c r="E132" s="22"/>
      <c r="F132" s="22"/>
      <c r="G132" s="22"/>
      <c r="H132" s="22"/>
      <c r="I132" s="22"/>
      <c r="J132" s="22"/>
    </row>
    <row r="133">
      <c r="C133" s="22"/>
      <c r="D133" s="22"/>
      <c r="E133" s="22"/>
      <c r="F133" s="22"/>
      <c r="G133" s="22"/>
      <c r="H133" s="22"/>
      <c r="I133" s="22"/>
      <c r="J133" s="22"/>
    </row>
    <row r="134">
      <c r="C134" s="22"/>
      <c r="D134" s="22"/>
      <c r="E134" s="22"/>
      <c r="F134" s="22"/>
      <c r="G134" s="22"/>
      <c r="H134" s="22"/>
      <c r="I134" s="22"/>
      <c r="J134" s="22"/>
    </row>
    <row r="135">
      <c r="C135" s="22"/>
      <c r="D135" s="22"/>
      <c r="E135" s="22"/>
      <c r="F135" s="22"/>
      <c r="G135" s="22"/>
      <c r="H135" s="22"/>
      <c r="I135" s="22"/>
      <c r="J135" s="22"/>
    </row>
    <row r="136">
      <c r="C136" s="22"/>
      <c r="D136" s="22"/>
      <c r="E136" s="22"/>
      <c r="F136" s="22"/>
      <c r="G136" s="22"/>
      <c r="H136" s="22"/>
      <c r="I136" s="22"/>
      <c r="J136" s="22"/>
    </row>
    <row r="137">
      <c r="C137" s="22"/>
      <c r="D137" s="22"/>
      <c r="E137" s="22"/>
      <c r="F137" s="22"/>
      <c r="G137" s="22"/>
      <c r="H137" s="22"/>
      <c r="I137" s="22"/>
      <c r="J137" s="22"/>
    </row>
    <row r="138">
      <c r="C138" s="22"/>
      <c r="D138" s="22"/>
      <c r="E138" s="22"/>
      <c r="F138" s="22"/>
      <c r="G138" s="22"/>
      <c r="H138" s="22"/>
      <c r="I138" s="22"/>
      <c r="J138" s="22"/>
    </row>
    <row r="139">
      <c r="C139" s="22"/>
      <c r="D139" s="22"/>
      <c r="E139" s="22"/>
      <c r="F139" s="22"/>
      <c r="G139" s="22"/>
      <c r="H139" s="22"/>
      <c r="I139" s="22"/>
      <c r="J139" s="22"/>
    </row>
    <row r="140">
      <c r="C140" s="22"/>
      <c r="D140" s="22"/>
      <c r="E140" s="22"/>
      <c r="F140" s="22"/>
      <c r="G140" s="22"/>
      <c r="H140" s="22"/>
      <c r="I140" s="22"/>
      <c r="J140" s="22"/>
    </row>
    <row r="141">
      <c r="C141" s="22"/>
      <c r="D141" s="22"/>
      <c r="E141" s="22"/>
      <c r="F141" s="22"/>
      <c r="G141" s="22"/>
      <c r="H141" s="22"/>
      <c r="I141" s="22"/>
      <c r="J141" s="22"/>
    </row>
    <row r="142">
      <c r="C142" s="22"/>
      <c r="D142" s="22"/>
      <c r="E142" s="22"/>
      <c r="F142" s="22"/>
      <c r="G142" s="22"/>
      <c r="H142" s="22"/>
      <c r="I142" s="22"/>
      <c r="J142" s="22"/>
    </row>
    <row r="143">
      <c r="C143" s="22"/>
      <c r="D143" s="22"/>
      <c r="E143" s="22"/>
      <c r="F143" s="22"/>
      <c r="G143" s="22"/>
      <c r="H143" s="22"/>
      <c r="I143" s="22"/>
      <c r="J143" s="22"/>
    </row>
    <row r="144">
      <c r="C144" s="22"/>
      <c r="D144" s="22"/>
      <c r="E144" s="22"/>
      <c r="F144" s="22"/>
      <c r="G144" s="22"/>
      <c r="H144" s="22"/>
      <c r="I144" s="22"/>
      <c r="J144" s="22"/>
    </row>
    <row r="145">
      <c r="C145" s="22"/>
      <c r="D145" s="22"/>
      <c r="E145" s="22"/>
      <c r="F145" s="22"/>
      <c r="G145" s="22"/>
      <c r="H145" s="22"/>
      <c r="I145" s="22"/>
      <c r="J145" s="22"/>
    </row>
    <row r="146">
      <c r="C146" s="22"/>
      <c r="D146" s="22"/>
      <c r="E146" s="22"/>
      <c r="F146" s="22"/>
      <c r="G146" s="22"/>
      <c r="H146" s="22"/>
      <c r="I146" s="22"/>
      <c r="J146" s="22"/>
    </row>
    <row r="147">
      <c r="C147" s="22"/>
      <c r="D147" s="22"/>
      <c r="E147" s="22"/>
      <c r="F147" s="22"/>
      <c r="G147" s="22"/>
      <c r="H147" s="22"/>
      <c r="I147" s="22"/>
      <c r="J147" s="22"/>
    </row>
    <row r="148">
      <c r="C148" s="22"/>
      <c r="D148" s="22"/>
      <c r="E148" s="22"/>
      <c r="F148" s="22"/>
      <c r="G148" s="22"/>
      <c r="H148" s="22"/>
      <c r="I148" s="22"/>
      <c r="J148" s="22"/>
    </row>
    <row r="149">
      <c r="C149" s="22"/>
      <c r="D149" s="22"/>
      <c r="E149" s="22"/>
      <c r="F149" s="22"/>
      <c r="G149" s="22"/>
      <c r="H149" s="22"/>
      <c r="I149" s="22"/>
      <c r="J149" s="22"/>
    </row>
    <row r="150">
      <c r="C150" s="22"/>
      <c r="D150" s="22"/>
      <c r="E150" s="22"/>
      <c r="F150" s="22"/>
      <c r="G150" s="22"/>
      <c r="H150" s="22"/>
      <c r="I150" s="22"/>
      <c r="J150" s="22"/>
    </row>
    <row r="151">
      <c r="C151" s="22"/>
      <c r="D151" s="22"/>
      <c r="E151" s="22"/>
      <c r="F151" s="22"/>
      <c r="G151" s="22"/>
      <c r="H151" s="22"/>
      <c r="I151" s="22"/>
      <c r="J151" s="22"/>
    </row>
    <row r="152">
      <c r="C152" s="22"/>
      <c r="D152" s="22"/>
      <c r="E152" s="22"/>
      <c r="F152" s="22"/>
      <c r="G152" s="22"/>
      <c r="H152" s="22"/>
      <c r="I152" s="22"/>
      <c r="J152" s="22"/>
    </row>
    <row r="153">
      <c r="C153" s="22"/>
      <c r="D153" s="22"/>
      <c r="E153" s="22"/>
      <c r="F153" s="22"/>
      <c r="G153" s="22"/>
      <c r="H153" s="22"/>
      <c r="I153" s="22"/>
      <c r="J153" s="22"/>
    </row>
    <row r="154">
      <c r="C154" s="22"/>
      <c r="D154" s="22"/>
      <c r="E154" s="22"/>
      <c r="F154" s="22"/>
      <c r="G154" s="22"/>
      <c r="H154" s="22"/>
      <c r="I154" s="22"/>
      <c r="J154" s="22"/>
    </row>
    <row r="155">
      <c r="C155" s="22"/>
      <c r="D155" s="22"/>
      <c r="E155" s="22"/>
      <c r="F155" s="22"/>
      <c r="G155" s="22"/>
      <c r="H155" s="22"/>
      <c r="I155" s="22"/>
      <c r="J155" s="22"/>
    </row>
    <row r="156">
      <c r="C156" s="22"/>
      <c r="D156" s="22"/>
      <c r="E156" s="22"/>
      <c r="F156" s="22"/>
      <c r="G156" s="22"/>
      <c r="H156" s="22"/>
      <c r="I156" s="22"/>
      <c r="J156" s="22"/>
    </row>
    <row r="157">
      <c r="C157" s="22"/>
      <c r="D157" s="22"/>
      <c r="E157" s="22"/>
      <c r="F157" s="22"/>
      <c r="G157" s="22"/>
      <c r="H157" s="22"/>
      <c r="I157" s="22"/>
      <c r="J157" s="22"/>
    </row>
    <row r="158">
      <c r="C158" s="22"/>
      <c r="D158" s="22"/>
      <c r="E158" s="22"/>
      <c r="F158" s="22"/>
      <c r="G158" s="22"/>
      <c r="H158" s="22"/>
      <c r="I158" s="22"/>
      <c r="J158" s="22"/>
    </row>
    <row r="159">
      <c r="C159" s="22"/>
      <c r="D159" s="22"/>
      <c r="E159" s="22"/>
      <c r="F159" s="22"/>
      <c r="G159" s="22"/>
      <c r="H159" s="22"/>
      <c r="I159" s="22"/>
      <c r="J159" s="22"/>
    </row>
    <row r="160">
      <c r="C160" s="22"/>
      <c r="D160" s="22"/>
      <c r="E160" s="22"/>
      <c r="F160" s="22"/>
      <c r="G160" s="22"/>
      <c r="H160" s="22"/>
      <c r="I160" s="22"/>
      <c r="J160" s="22"/>
    </row>
    <row r="161">
      <c r="C161" s="22"/>
      <c r="D161" s="22"/>
      <c r="E161" s="22"/>
      <c r="F161" s="22"/>
      <c r="G161" s="22"/>
      <c r="H161" s="22"/>
      <c r="I161" s="22"/>
      <c r="J161" s="22"/>
    </row>
    <row r="162">
      <c r="C162" s="22"/>
      <c r="D162" s="22"/>
      <c r="E162" s="22"/>
      <c r="F162" s="22"/>
      <c r="G162" s="22"/>
      <c r="H162" s="22"/>
      <c r="I162" s="22"/>
      <c r="J162" s="22"/>
    </row>
    <row r="163">
      <c r="C163" s="22"/>
      <c r="D163" s="22"/>
      <c r="E163" s="22"/>
      <c r="F163" s="22"/>
      <c r="G163" s="22"/>
      <c r="H163" s="22"/>
      <c r="I163" s="22"/>
      <c r="J163" s="22"/>
    </row>
    <row r="164">
      <c r="C164" s="22"/>
      <c r="D164" s="22"/>
      <c r="E164" s="22"/>
      <c r="F164" s="22"/>
      <c r="G164" s="22"/>
      <c r="H164" s="22"/>
      <c r="I164" s="22"/>
      <c r="J164" s="22"/>
    </row>
    <row r="165">
      <c r="C165" s="22"/>
      <c r="D165" s="22"/>
      <c r="E165" s="22"/>
      <c r="F165" s="22"/>
      <c r="G165" s="22"/>
      <c r="H165" s="22"/>
      <c r="I165" s="22"/>
      <c r="J165" s="22"/>
    </row>
    <row r="166">
      <c r="C166" s="22"/>
      <c r="D166" s="22"/>
      <c r="E166" s="22"/>
      <c r="F166" s="22"/>
      <c r="G166" s="22"/>
      <c r="H166" s="22"/>
      <c r="I166" s="22"/>
      <c r="J166" s="22"/>
    </row>
    <row r="167">
      <c r="C167" s="22"/>
      <c r="D167" s="22"/>
      <c r="E167" s="22"/>
      <c r="F167" s="22"/>
      <c r="G167" s="22"/>
      <c r="H167" s="22"/>
      <c r="I167" s="22"/>
      <c r="J167" s="22"/>
    </row>
    <row r="168">
      <c r="C168" s="22"/>
      <c r="D168" s="22"/>
      <c r="E168" s="22"/>
      <c r="F168" s="22"/>
      <c r="G168" s="22"/>
      <c r="H168" s="22"/>
      <c r="I168" s="22"/>
      <c r="J168" s="22"/>
    </row>
    <row r="169">
      <c r="C169" s="22"/>
      <c r="D169" s="22"/>
      <c r="E169" s="22"/>
      <c r="F169" s="22"/>
      <c r="G169" s="22"/>
      <c r="H169" s="22"/>
      <c r="I169" s="22"/>
      <c r="J169" s="22"/>
    </row>
    <row r="170">
      <c r="C170" s="22"/>
      <c r="D170" s="22"/>
      <c r="E170" s="22"/>
      <c r="F170" s="22"/>
      <c r="G170" s="22"/>
      <c r="H170" s="22"/>
      <c r="I170" s="22"/>
      <c r="J170" s="22"/>
    </row>
    <row r="171">
      <c r="C171" s="22"/>
      <c r="D171" s="22"/>
      <c r="E171" s="22"/>
      <c r="F171" s="22"/>
      <c r="G171" s="22"/>
      <c r="H171" s="22"/>
      <c r="I171" s="22"/>
      <c r="J171" s="22"/>
    </row>
    <row r="172">
      <c r="C172" s="22"/>
      <c r="D172" s="22"/>
      <c r="E172" s="22"/>
      <c r="F172" s="22"/>
      <c r="G172" s="22"/>
      <c r="H172" s="22"/>
      <c r="I172" s="22"/>
      <c r="J172" s="22"/>
    </row>
    <row r="173">
      <c r="C173" s="22"/>
      <c r="D173" s="22"/>
      <c r="E173" s="22"/>
      <c r="F173" s="22"/>
      <c r="G173" s="22"/>
      <c r="H173" s="22"/>
      <c r="I173" s="22"/>
      <c r="J173" s="22"/>
    </row>
    <row r="174">
      <c r="C174" s="22"/>
      <c r="D174" s="22"/>
      <c r="E174" s="22"/>
      <c r="F174" s="22"/>
      <c r="G174" s="22"/>
      <c r="H174" s="22"/>
      <c r="I174" s="22"/>
      <c r="J174" s="22"/>
    </row>
    <row r="175">
      <c r="C175" s="22"/>
      <c r="D175" s="22"/>
      <c r="E175" s="22"/>
      <c r="F175" s="22"/>
      <c r="G175" s="22"/>
      <c r="H175" s="22"/>
      <c r="I175" s="22"/>
      <c r="J175" s="22"/>
    </row>
    <row r="176">
      <c r="C176" s="22"/>
      <c r="D176" s="22"/>
      <c r="E176" s="22"/>
      <c r="F176" s="22"/>
      <c r="G176" s="22"/>
      <c r="H176" s="22"/>
      <c r="I176" s="22"/>
      <c r="J176" s="22"/>
    </row>
    <row r="177">
      <c r="C177" s="22"/>
      <c r="D177" s="22"/>
      <c r="E177" s="22"/>
      <c r="F177" s="22"/>
      <c r="G177" s="22"/>
      <c r="H177" s="22"/>
      <c r="I177" s="22"/>
      <c r="J177" s="22"/>
    </row>
    <row r="178">
      <c r="C178" s="22"/>
      <c r="D178" s="22"/>
      <c r="E178" s="22"/>
      <c r="F178" s="22"/>
      <c r="G178" s="22"/>
      <c r="H178" s="22"/>
      <c r="I178" s="22"/>
      <c r="J178" s="22"/>
    </row>
    <row r="179">
      <c r="C179" s="22"/>
      <c r="D179" s="22"/>
      <c r="E179" s="22"/>
      <c r="F179" s="22"/>
      <c r="G179" s="22"/>
      <c r="H179" s="22"/>
      <c r="I179" s="22"/>
      <c r="J179" s="22"/>
    </row>
    <row r="180">
      <c r="C180" s="22"/>
      <c r="D180" s="22"/>
      <c r="E180" s="22"/>
      <c r="F180" s="22"/>
      <c r="G180" s="22"/>
      <c r="H180" s="22"/>
      <c r="I180" s="22"/>
      <c r="J180" s="22"/>
    </row>
    <row r="181">
      <c r="C181" s="22"/>
      <c r="D181" s="22"/>
      <c r="E181" s="22"/>
      <c r="F181" s="22"/>
      <c r="G181" s="22"/>
      <c r="H181" s="22"/>
      <c r="I181" s="22"/>
      <c r="J181" s="22"/>
    </row>
    <row r="182">
      <c r="C182" s="22"/>
      <c r="D182" s="22"/>
      <c r="E182" s="22"/>
      <c r="F182" s="22"/>
      <c r="G182" s="22"/>
      <c r="H182" s="22"/>
      <c r="I182" s="22"/>
      <c r="J182" s="22"/>
    </row>
    <row r="183">
      <c r="C183" s="22"/>
      <c r="D183" s="22"/>
      <c r="E183" s="22"/>
      <c r="F183" s="22"/>
      <c r="G183" s="22"/>
      <c r="H183" s="22"/>
      <c r="I183" s="22"/>
      <c r="J183" s="22"/>
    </row>
    <row r="184">
      <c r="C184" s="22"/>
      <c r="D184" s="22"/>
      <c r="E184" s="22"/>
      <c r="F184" s="22"/>
      <c r="G184" s="22"/>
      <c r="H184" s="22"/>
      <c r="I184" s="22"/>
      <c r="J184" s="22"/>
    </row>
    <row r="185">
      <c r="C185" s="22"/>
      <c r="D185" s="22"/>
      <c r="E185" s="22"/>
      <c r="F185" s="22"/>
      <c r="G185" s="22"/>
      <c r="H185" s="22"/>
      <c r="I185" s="22"/>
      <c r="J185" s="22"/>
    </row>
    <row r="186">
      <c r="C186" s="22"/>
      <c r="D186" s="22"/>
      <c r="E186" s="22"/>
      <c r="F186" s="22"/>
      <c r="G186" s="22"/>
      <c r="H186" s="22"/>
      <c r="I186" s="22"/>
      <c r="J186" s="22"/>
    </row>
    <row r="187">
      <c r="C187" s="22"/>
      <c r="D187" s="22"/>
      <c r="E187" s="22"/>
      <c r="F187" s="22"/>
      <c r="G187" s="22"/>
      <c r="H187" s="22"/>
      <c r="I187" s="22"/>
      <c r="J187" s="22"/>
    </row>
    <row r="188">
      <c r="C188" s="22"/>
      <c r="D188" s="22"/>
      <c r="E188" s="22"/>
      <c r="F188" s="22"/>
      <c r="G188" s="22"/>
      <c r="H188" s="22"/>
      <c r="I188" s="22"/>
      <c r="J188" s="22"/>
    </row>
    <row r="189">
      <c r="C189" s="22"/>
      <c r="D189" s="22"/>
      <c r="E189" s="22"/>
      <c r="F189" s="22"/>
      <c r="G189" s="22"/>
      <c r="H189" s="22"/>
      <c r="I189" s="22"/>
      <c r="J189" s="22"/>
    </row>
    <row r="190">
      <c r="C190" s="22"/>
      <c r="D190" s="22"/>
      <c r="E190" s="22"/>
      <c r="F190" s="22"/>
      <c r="G190" s="22"/>
      <c r="H190" s="22"/>
      <c r="I190" s="22"/>
      <c r="J190" s="22"/>
    </row>
    <row r="191">
      <c r="C191" s="22"/>
      <c r="D191" s="22"/>
      <c r="E191" s="22"/>
      <c r="F191" s="22"/>
      <c r="G191" s="22"/>
      <c r="H191" s="22"/>
      <c r="I191" s="22"/>
      <c r="J191" s="22"/>
    </row>
    <row r="192">
      <c r="C192" s="22"/>
      <c r="D192" s="22"/>
      <c r="E192" s="22"/>
      <c r="F192" s="22"/>
      <c r="G192" s="22"/>
      <c r="H192" s="22"/>
      <c r="I192" s="22"/>
      <c r="J192" s="22"/>
    </row>
    <row r="193">
      <c r="C193" s="22"/>
      <c r="D193" s="22"/>
      <c r="E193" s="22"/>
      <c r="F193" s="22"/>
      <c r="G193" s="22"/>
      <c r="H193" s="22"/>
      <c r="I193" s="22"/>
      <c r="J193" s="22"/>
    </row>
    <row r="194">
      <c r="C194" s="22"/>
      <c r="D194" s="22"/>
      <c r="E194" s="22"/>
      <c r="F194" s="22"/>
      <c r="G194" s="22"/>
      <c r="H194" s="22"/>
      <c r="I194" s="22"/>
      <c r="J194" s="22"/>
    </row>
    <row r="195">
      <c r="C195" s="22"/>
      <c r="D195" s="22"/>
      <c r="E195" s="22"/>
      <c r="F195" s="22"/>
      <c r="G195" s="22"/>
      <c r="H195" s="22"/>
      <c r="I195" s="22"/>
      <c r="J195" s="22"/>
    </row>
    <row r="196">
      <c r="C196" s="22"/>
      <c r="D196" s="22"/>
      <c r="E196" s="22"/>
      <c r="F196" s="22"/>
      <c r="G196" s="22"/>
      <c r="H196" s="22"/>
      <c r="I196" s="22"/>
      <c r="J196" s="22"/>
    </row>
    <row r="197">
      <c r="C197" s="22"/>
      <c r="D197" s="22"/>
      <c r="E197" s="22"/>
      <c r="F197" s="22"/>
      <c r="G197" s="22"/>
      <c r="H197" s="22"/>
      <c r="I197" s="22"/>
      <c r="J197" s="22"/>
    </row>
    <row r="198">
      <c r="C198" s="22"/>
      <c r="D198" s="22"/>
      <c r="E198" s="22"/>
      <c r="F198" s="22"/>
      <c r="G198" s="22"/>
      <c r="H198" s="22"/>
      <c r="I198" s="22"/>
      <c r="J198" s="22"/>
    </row>
    <row r="199">
      <c r="C199" s="22"/>
      <c r="D199" s="22"/>
      <c r="E199" s="22"/>
      <c r="F199" s="22"/>
      <c r="G199" s="22"/>
      <c r="H199" s="22"/>
      <c r="I199" s="22"/>
      <c r="J199" s="22"/>
    </row>
    <row r="200">
      <c r="C200" s="22"/>
      <c r="D200" s="22"/>
      <c r="E200" s="22"/>
      <c r="F200" s="22"/>
      <c r="G200" s="22"/>
      <c r="H200" s="22"/>
      <c r="I200" s="22"/>
      <c r="J200" s="22"/>
    </row>
    <row r="201">
      <c r="C201" s="22"/>
      <c r="D201" s="22"/>
      <c r="E201" s="22"/>
      <c r="F201" s="22"/>
      <c r="G201" s="22"/>
      <c r="H201" s="22"/>
      <c r="I201" s="22"/>
      <c r="J201" s="22"/>
    </row>
    <row r="202">
      <c r="C202" s="22"/>
      <c r="D202" s="22"/>
      <c r="E202" s="22"/>
      <c r="F202" s="22"/>
      <c r="G202" s="22"/>
      <c r="H202" s="22"/>
      <c r="I202" s="22"/>
      <c r="J202" s="22"/>
    </row>
    <row r="203">
      <c r="C203" s="22"/>
      <c r="D203" s="22"/>
      <c r="E203" s="22"/>
      <c r="F203" s="22"/>
      <c r="G203" s="22"/>
      <c r="H203" s="22"/>
      <c r="I203" s="22"/>
      <c r="J203" s="22"/>
    </row>
    <row r="204">
      <c r="C204" s="22"/>
      <c r="D204" s="22"/>
      <c r="E204" s="22"/>
      <c r="F204" s="22"/>
      <c r="G204" s="22"/>
      <c r="H204" s="22"/>
      <c r="I204" s="22"/>
      <c r="J204" s="22"/>
    </row>
    <row r="205">
      <c r="C205" s="22"/>
      <c r="D205" s="22"/>
      <c r="E205" s="22"/>
      <c r="F205" s="22"/>
      <c r="G205" s="22"/>
      <c r="H205" s="22"/>
      <c r="I205" s="22"/>
      <c r="J205" s="22"/>
    </row>
    <row r="206">
      <c r="C206" s="22"/>
      <c r="D206" s="22"/>
      <c r="E206" s="22"/>
      <c r="F206" s="22"/>
      <c r="G206" s="22"/>
      <c r="H206" s="22"/>
      <c r="I206" s="22"/>
      <c r="J206" s="22"/>
    </row>
    <row r="207">
      <c r="C207" s="22"/>
      <c r="D207" s="22"/>
      <c r="E207" s="22"/>
      <c r="F207" s="22"/>
      <c r="G207" s="22"/>
      <c r="H207" s="22"/>
      <c r="I207" s="22"/>
      <c r="J207" s="22"/>
    </row>
    <row r="208">
      <c r="C208" s="22"/>
      <c r="D208" s="22"/>
      <c r="E208" s="22"/>
      <c r="F208" s="22"/>
      <c r="G208" s="22"/>
      <c r="H208" s="22"/>
      <c r="I208" s="22"/>
      <c r="J208" s="22"/>
    </row>
    <row r="209">
      <c r="C209" s="22"/>
      <c r="D209" s="22"/>
      <c r="E209" s="22"/>
      <c r="F209" s="22"/>
      <c r="G209" s="22"/>
      <c r="H209" s="22"/>
      <c r="I209" s="22"/>
      <c r="J209" s="22"/>
    </row>
    <row r="210">
      <c r="C210" s="22"/>
      <c r="D210" s="22"/>
      <c r="E210" s="22"/>
      <c r="F210" s="22"/>
      <c r="G210" s="22"/>
      <c r="H210" s="22"/>
      <c r="I210" s="22"/>
      <c r="J210" s="22"/>
    </row>
    <row r="211">
      <c r="C211" s="22"/>
      <c r="D211" s="22"/>
      <c r="E211" s="22"/>
      <c r="F211" s="22"/>
      <c r="G211" s="22"/>
      <c r="H211" s="22"/>
      <c r="I211" s="22"/>
      <c r="J211" s="22"/>
    </row>
    <row r="212">
      <c r="C212" s="22"/>
      <c r="D212" s="22"/>
      <c r="E212" s="22"/>
      <c r="F212" s="22"/>
      <c r="G212" s="22"/>
      <c r="H212" s="22"/>
      <c r="I212" s="22"/>
      <c r="J212" s="22"/>
    </row>
    <row r="213">
      <c r="C213" s="22"/>
      <c r="D213" s="22"/>
      <c r="E213" s="22"/>
      <c r="F213" s="22"/>
      <c r="G213" s="22"/>
      <c r="H213" s="22"/>
      <c r="I213" s="22"/>
      <c r="J213" s="22"/>
    </row>
    <row r="214">
      <c r="C214" s="22"/>
      <c r="D214" s="22"/>
      <c r="E214" s="22"/>
      <c r="F214" s="22"/>
      <c r="G214" s="22"/>
      <c r="H214" s="22"/>
      <c r="I214" s="22"/>
      <c r="J214" s="22"/>
    </row>
    <row r="215">
      <c r="C215" s="22"/>
      <c r="D215" s="22"/>
      <c r="E215" s="22"/>
      <c r="F215" s="22"/>
      <c r="G215" s="22"/>
      <c r="H215" s="22"/>
      <c r="I215" s="22"/>
      <c r="J215" s="22"/>
    </row>
    <row r="216">
      <c r="C216" s="22"/>
      <c r="D216" s="22"/>
      <c r="E216" s="22"/>
      <c r="F216" s="22"/>
      <c r="G216" s="22"/>
      <c r="H216" s="22"/>
      <c r="I216" s="22"/>
      <c r="J216" s="22"/>
    </row>
    <row r="217">
      <c r="C217" s="22"/>
      <c r="D217" s="22"/>
      <c r="E217" s="22"/>
      <c r="F217" s="22"/>
      <c r="G217" s="22"/>
      <c r="H217" s="22"/>
      <c r="I217" s="22"/>
      <c r="J217" s="22"/>
    </row>
    <row r="218">
      <c r="C218" s="22"/>
      <c r="D218" s="22"/>
      <c r="E218" s="22"/>
      <c r="F218" s="22"/>
      <c r="G218" s="22"/>
      <c r="H218" s="22"/>
      <c r="I218" s="22"/>
      <c r="J218" s="22"/>
    </row>
    <row r="219">
      <c r="C219" s="22"/>
      <c r="D219" s="22"/>
      <c r="E219" s="22"/>
      <c r="F219" s="22"/>
      <c r="G219" s="22"/>
      <c r="H219" s="22"/>
      <c r="I219" s="22"/>
      <c r="J219" s="22"/>
    </row>
    <row r="220">
      <c r="C220" s="22"/>
      <c r="D220" s="22"/>
      <c r="E220" s="22"/>
      <c r="F220" s="22"/>
      <c r="G220" s="22"/>
      <c r="H220" s="22"/>
      <c r="I220" s="22"/>
      <c r="J220" s="22"/>
    </row>
    <row r="221">
      <c r="C221" s="22"/>
      <c r="D221" s="22"/>
      <c r="E221" s="22"/>
      <c r="F221" s="22"/>
      <c r="G221" s="22"/>
      <c r="H221" s="22"/>
      <c r="I221" s="22"/>
      <c r="J221" s="22"/>
    </row>
    <row r="222">
      <c r="C222" s="22"/>
      <c r="D222" s="22"/>
      <c r="E222" s="22"/>
      <c r="F222" s="22"/>
      <c r="G222" s="22"/>
      <c r="H222" s="22"/>
      <c r="I222" s="22"/>
      <c r="J222" s="22"/>
    </row>
    <row r="223">
      <c r="C223" s="22"/>
      <c r="D223" s="22"/>
      <c r="E223" s="22"/>
      <c r="F223" s="22"/>
      <c r="G223" s="22"/>
      <c r="H223" s="22"/>
      <c r="I223" s="22"/>
      <c r="J223" s="22"/>
    </row>
    <row r="224">
      <c r="C224" s="22"/>
      <c r="D224" s="22"/>
      <c r="E224" s="22"/>
      <c r="F224" s="22"/>
      <c r="G224" s="22"/>
      <c r="H224" s="22"/>
      <c r="I224" s="22"/>
      <c r="J224" s="22"/>
    </row>
    <row r="225">
      <c r="C225" s="22"/>
      <c r="D225" s="22"/>
      <c r="E225" s="22"/>
      <c r="F225" s="22"/>
      <c r="G225" s="22"/>
      <c r="H225" s="22"/>
      <c r="I225" s="22"/>
      <c r="J225" s="22"/>
    </row>
    <row r="226">
      <c r="C226" s="22"/>
      <c r="D226" s="22"/>
      <c r="E226" s="22"/>
      <c r="F226" s="22"/>
      <c r="G226" s="22"/>
      <c r="H226" s="22"/>
      <c r="I226" s="22"/>
      <c r="J226" s="22"/>
    </row>
    <row r="227">
      <c r="C227" s="22"/>
      <c r="D227" s="22"/>
      <c r="E227" s="22"/>
      <c r="F227" s="22"/>
      <c r="G227" s="22"/>
      <c r="H227" s="22"/>
      <c r="I227" s="22"/>
      <c r="J227" s="22"/>
    </row>
    <row r="228">
      <c r="C228" s="22"/>
      <c r="D228" s="22"/>
      <c r="E228" s="22"/>
      <c r="F228" s="22"/>
      <c r="G228" s="22"/>
      <c r="H228" s="22"/>
      <c r="I228" s="22"/>
      <c r="J228" s="22"/>
    </row>
    <row r="229">
      <c r="C229" s="22"/>
      <c r="D229" s="22"/>
      <c r="E229" s="22"/>
      <c r="F229" s="22"/>
      <c r="G229" s="22"/>
      <c r="H229" s="22"/>
      <c r="I229" s="22"/>
      <c r="J229" s="22"/>
    </row>
    <row r="230">
      <c r="C230" s="22"/>
      <c r="D230" s="22"/>
      <c r="E230" s="22"/>
      <c r="F230" s="22"/>
      <c r="G230" s="22"/>
      <c r="H230" s="22"/>
      <c r="I230" s="22"/>
      <c r="J230" s="22"/>
    </row>
    <row r="231">
      <c r="C231" s="22"/>
      <c r="D231" s="22"/>
      <c r="E231" s="22"/>
      <c r="F231" s="22"/>
      <c r="G231" s="22"/>
      <c r="H231" s="22"/>
      <c r="I231" s="22"/>
      <c r="J231" s="22"/>
    </row>
    <row r="232">
      <c r="C232" s="22"/>
      <c r="D232" s="22"/>
      <c r="E232" s="22"/>
      <c r="F232" s="22"/>
      <c r="G232" s="22"/>
      <c r="H232" s="22"/>
      <c r="I232" s="22"/>
      <c r="J232" s="22"/>
    </row>
    <row r="233">
      <c r="C233" s="22"/>
      <c r="D233" s="22"/>
      <c r="E233" s="22"/>
      <c r="F233" s="22"/>
      <c r="G233" s="22"/>
      <c r="H233" s="22"/>
      <c r="I233" s="22"/>
      <c r="J233" s="22"/>
    </row>
    <row r="234">
      <c r="C234" s="22"/>
      <c r="D234" s="22"/>
      <c r="E234" s="22"/>
      <c r="F234" s="22"/>
      <c r="G234" s="22"/>
      <c r="H234" s="22"/>
      <c r="I234" s="22"/>
      <c r="J234" s="22"/>
    </row>
    <row r="235">
      <c r="C235" s="22"/>
      <c r="D235" s="22"/>
      <c r="E235" s="22"/>
      <c r="F235" s="22"/>
      <c r="G235" s="22"/>
      <c r="H235" s="22"/>
      <c r="I235" s="22"/>
      <c r="J235" s="22"/>
    </row>
    <row r="236">
      <c r="C236" s="22"/>
      <c r="D236" s="22"/>
      <c r="E236" s="22"/>
      <c r="F236" s="22"/>
      <c r="G236" s="22"/>
      <c r="H236" s="22"/>
      <c r="I236" s="22"/>
      <c r="J236" s="22"/>
    </row>
    <row r="237">
      <c r="C237" s="22"/>
      <c r="D237" s="22"/>
      <c r="E237" s="22"/>
      <c r="F237" s="22"/>
      <c r="G237" s="22"/>
      <c r="H237" s="22"/>
      <c r="I237" s="22"/>
      <c r="J237" s="22"/>
    </row>
    <row r="238">
      <c r="C238" s="22"/>
      <c r="D238" s="22"/>
      <c r="E238" s="22"/>
      <c r="F238" s="22"/>
      <c r="G238" s="22"/>
      <c r="H238" s="22"/>
      <c r="I238" s="22"/>
      <c r="J238" s="22"/>
    </row>
    <row r="239">
      <c r="C239" s="22"/>
      <c r="D239" s="22"/>
      <c r="E239" s="22"/>
      <c r="F239" s="22"/>
      <c r="G239" s="22"/>
      <c r="H239" s="22"/>
      <c r="I239" s="22"/>
      <c r="J239" s="22"/>
    </row>
    <row r="240">
      <c r="C240" s="22"/>
      <c r="D240" s="22"/>
      <c r="E240" s="22"/>
      <c r="F240" s="22"/>
      <c r="G240" s="22"/>
      <c r="H240" s="22"/>
      <c r="I240" s="22"/>
      <c r="J240" s="22"/>
    </row>
    <row r="241">
      <c r="C241" s="22"/>
      <c r="D241" s="22"/>
      <c r="E241" s="22"/>
      <c r="F241" s="22"/>
      <c r="G241" s="22"/>
      <c r="H241" s="22"/>
      <c r="I241" s="22"/>
      <c r="J241" s="22"/>
    </row>
    <row r="242">
      <c r="C242" s="22"/>
      <c r="D242" s="22"/>
      <c r="E242" s="22"/>
      <c r="F242" s="22"/>
      <c r="G242" s="22"/>
      <c r="H242" s="22"/>
      <c r="I242" s="22"/>
      <c r="J242" s="22"/>
    </row>
    <row r="243">
      <c r="C243" s="22"/>
      <c r="D243" s="22"/>
      <c r="E243" s="22"/>
      <c r="F243" s="22"/>
      <c r="G243" s="22"/>
      <c r="H243" s="22"/>
      <c r="I243" s="22"/>
      <c r="J243" s="22"/>
    </row>
    <row r="244">
      <c r="C244" s="22"/>
      <c r="D244" s="22"/>
      <c r="E244" s="22"/>
      <c r="F244" s="22"/>
      <c r="G244" s="22"/>
      <c r="H244" s="22"/>
      <c r="I244" s="22"/>
      <c r="J244" s="22"/>
    </row>
    <row r="245">
      <c r="C245" s="22"/>
      <c r="D245" s="22"/>
      <c r="E245" s="22"/>
      <c r="F245" s="22"/>
      <c r="G245" s="22"/>
      <c r="H245" s="22"/>
      <c r="I245" s="22"/>
      <c r="J245" s="22"/>
    </row>
    <row r="246">
      <c r="C246" s="22"/>
      <c r="D246" s="22"/>
      <c r="E246" s="22"/>
      <c r="F246" s="22"/>
      <c r="G246" s="22"/>
      <c r="H246" s="22"/>
      <c r="I246" s="22"/>
      <c r="J246" s="22"/>
    </row>
    <row r="247">
      <c r="C247" s="22"/>
      <c r="D247" s="22"/>
      <c r="E247" s="22"/>
      <c r="F247" s="22"/>
      <c r="G247" s="22"/>
      <c r="H247" s="22"/>
      <c r="I247" s="22"/>
      <c r="J247" s="22"/>
    </row>
    <row r="248">
      <c r="C248" s="22"/>
      <c r="D248" s="22"/>
      <c r="E248" s="22"/>
      <c r="F248" s="22"/>
      <c r="G248" s="22"/>
      <c r="H248" s="22"/>
      <c r="I248" s="22"/>
      <c r="J248" s="22"/>
    </row>
    <row r="249">
      <c r="C249" s="22"/>
      <c r="D249" s="22"/>
      <c r="E249" s="22"/>
      <c r="F249" s="22"/>
      <c r="G249" s="22"/>
      <c r="H249" s="22"/>
      <c r="I249" s="22"/>
      <c r="J249" s="22"/>
    </row>
    <row r="250">
      <c r="C250" s="22"/>
      <c r="D250" s="22"/>
      <c r="E250" s="22"/>
      <c r="F250" s="22"/>
      <c r="G250" s="22"/>
      <c r="H250" s="22"/>
      <c r="I250" s="22"/>
      <c r="J250" s="22"/>
    </row>
    <row r="251">
      <c r="C251" s="22"/>
      <c r="D251" s="22"/>
      <c r="E251" s="22"/>
      <c r="F251" s="22"/>
      <c r="G251" s="22"/>
      <c r="H251" s="22"/>
      <c r="I251" s="22"/>
      <c r="J251" s="22"/>
    </row>
    <row r="252">
      <c r="C252" s="22"/>
      <c r="D252" s="22"/>
      <c r="E252" s="22"/>
      <c r="F252" s="22"/>
      <c r="G252" s="22"/>
      <c r="H252" s="22"/>
      <c r="I252" s="22"/>
      <c r="J252" s="22"/>
    </row>
    <row r="253">
      <c r="C253" s="22"/>
      <c r="D253" s="22"/>
      <c r="E253" s="22"/>
      <c r="F253" s="22"/>
      <c r="G253" s="22"/>
      <c r="H253" s="22"/>
      <c r="I253" s="22"/>
      <c r="J253" s="22"/>
    </row>
    <row r="254">
      <c r="C254" s="22"/>
      <c r="D254" s="22"/>
      <c r="E254" s="22"/>
      <c r="F254" s="22"/>
      <c r="G254" s="22"/>
      <c r="H254" s="22"/>
      <c r="I254" s="22"/>
      <c r="J254" s="22"/>
    </row>
    <row r="255">
      <c r="C255" s="22"/>
      <c r="D255" s="22"/>
      <c r="E255" s="22"/>
      <c r="F255" s="22"/>
      <c r="G255" s="22"/>
      <c r="H255" s="22"/>
      <c r="I255" s="22"/>
      <c r="J255" s="22"/>
    </row>
    <row r="256">
      <c r="C256" s="22"/>
      <c r="D256" s="22"/>
      <c r="E256" s="22"/>
      <c r="F256" s="22"/>
      <c r="G256" s="22"/>
      <c r="H256" s="22"/>
      <c r="I256" s="22"/>
      <c r="J256" s="22"/>
    </row>
    <row r="257">
      <c r="C257" s="22"/>
      <c r="D257" s="22"/>
      <c r="E257" s="22"/>
      <c r="F257" s="22"/>
      <c r="G257" s="22"/>
      <c r="H257" s="22"/>
      <c r="I257" s="22"/>
      <c r="J257" s="22"/>
    </row>
    <row r="258">
      <c r="C258" s="22"/>
      <c r="D258" s="22"/>
      <c r="E258" s="22"/>
      <c r="F258" s="22"/>
      <c r="G258" s="22"/>
      <c r="H258" s="22"/>
      <c r="I258" s="22"/>
      <c r="J258" s="22"/>
    </row>
    <row r="259">
      <c r="C259" s="22"/>
      <c r="D259" s="22"/>
      <c r="E259" s="22"/>
      <c r="F259" s="22"/>
      <c r="G259" s="22"/>
      <c r="H259" s="22"/>
      <c r="I259" s="22"/>
      <c r="J259" s="22"/>
    </row>
    <row r="260">
      <c r="C260" s="22"/>
      <c r="D260" s="22"/>
      <c r="E260" s="22"/>
      <c r="F260" s="22"/>
      <c r="G260" s="22"/>
      <c r="H260" s="22"/>
      <c r="I260" s="22"/>
      <c r="J260" s="22"/>
    </row>
    <row r="261">
      <c r="C261" s="22"/>
      <c r="D261" s="22"/>
      <c r="E261" s="22"/>
      <c r="F261" s="22"/>
      <c r="G261" s="22"/>
      <c r="H261" s="22"/>
      <c r="I261" s="22"/>
      <c r="J261" s="22"/>
    </row>
    <row r="262">
      <c r="C262" s="22"/>
      <c r="D262" s="22"/>
      <c r="E262" s="22"/>
      <c r="F262" s="22"/>
      <c r="G262" s="22"/>
      <c r="H262" s="22"/>
      <c r="I262" s="22"/>
      <c r="J262" s="22"/>
    </row>
    <row r="263">
      <c r="C263" s="22"/>
      <c r="D263" s="22"/>
      <c r="E263" s="22"/>
      <c r="F263" s="22"/>
      <c r="G263" s="22"/>
      <c r="H263" s="22"/>
      <c r="I263" s="22"/>
      <c r="J263" s="22"/>
    </row>
    <row r="264">
      <c r="C264" s="22"/>
      <c r="D264" s="22"/>
      <c r="E264" s="22"/>
      <c r="F264" s="22"/>
      <c r="G264" s="22"/>
      <c r="H264" s="22"/>
      <c r="I264" s="22"/>
      <c r="J264" s="22"/>
    </row>
    <row r="265">
      <c r="C265" s="22"/>
      <c r="D265" s="22"/>
      <c r="E265" s="22"/>
      <c r="F265" s="22"/>
      <c r="G265" s="22"/>
      <c r="H265" s="22"/>
      <c r="I265" s="22"/>
      <c r="J265" s="22"/>
    </row>
    <row r="266">
      <c r="C266" s="22"/>
      <c r="D266" s="22"/>
      <c r="E266" s="22"/>
      <c r="F266" s="22"/>
      <c r="G266" s="22"/>
      <c r="H266" s="22"/>
      <c r="I266" s="22"/>
      <c r="J266" s="22"/>
    </row>
    <row r="267">
      <c r="C267" s="22"/>
      <c r="D267" s="22"/>
      <c r="E267" s="22"/>
      <c r="F267" s="22"/>
      <c r="G267" s="22"/>
      <c r="H267" s="22"/>
      <c r="I267" s="22"/>
      <c r="J267" s="22"/>
    </row>
    <row r="268">
      <c r="C268" s="22"/>
      <c r="D268" s="22"/>
      <c r="E268" s="22"/>
      <c r="F268" s="22"/>
      <c r="G268" s="22"/>
      <c r="H268" s="22"/>
      <c r="I268" s="22"/>
      <c r="J268" s="22"/>
    </row>
    <row r="269">
      <c r="C269" s="22"/>
      <c r="D269" s="22"/>
      <c r="E269" s="22"/>
      <c r="F269" s="22"/>
      <c r="G269" s="22"/>
      <c r="H269" s="22"/>
      <c r="I269" s="22"/>
      <c r="J269" s="22"/>
    </row>
    <row r="270">
      <c r="C270" s="22"/>
      <c r="D270" s="22"/>
      <c r="E270" s="22"/>
      <c r="F270" s="22"/>
      <c r="G270" s="22"/>
      <c r="H270" s="22"/>
      <c r="I270" s="22"/>
      <c r="J270" s="22"/>
    </row>
    <row r="271">
      <c r="C271" s="22"/>
      <c r="D271" s="22"/>
      <c r="E271" s="22"/>
      <c r="F271" s="22"/>
      <c r="G271" s="22"/>
      <c r="H271" s="22"/>
      <c r="I271" s="22"/>
      <c r="J271" s="22"/>
    </row>
    <row r="272">
      <c r="C272" s="22"/>
      <c r="D272" s="22"/>
      <c r="E272" s="22"/>
      <c r="F272" s="22"/>
      <c r="G272" s="22"/>
      <c r="H272" s="22"/>
      <c r="I272" s="22"/>
      <c r="J272" s="22"/>
    </row>
    <row r="273">
      <c r="C273" s="22"/>
      <c r="D273" s="22"/>
      <c r="E273" s="22"/>
      <c r="F273" s="22"/>
      <c r="G273" s="22"/>
      <c r="H273" s="22"/>
      <c r="I273" s="22"/>
      <c r="J273" s="22"/>
    </row>
    <row r="274">
      <c r="C274" s="22"/>
      <c r="D274" s="22"/>
      <c r="E274" s="22"/>
      <c r="F274" s="22"/>
      <c r="G274" s="22"/>
      <c r="H274" s="22"/>
      <c r="I274" s="22"/>
      <c r="J274" s="22"/>
    </row>
    <row r="275">
      <c r="C275" s="22"/>
      <c r="D275" s="22"/>
      <c r="E275" s="22"/>
      <c r="F275" s="22"/>
      <c r="G275" s="22"/>
      <c r="H275" s="22"/>
      <c r="I275" s="22"/>
      <c r="J275" s="22"/>
    </row>
    <row r="276">
      <c r="C276" s="22"/>
      <c r="D276" s="22"/>
      <c r="E276" s="22"/>
      <c r="F276" s="22"/>
      <c r="G276" s="22"/>
      <c r="H276" s="22"/>
      <c r="I276" s="22"/>
      <c r="J276" s="22"/>
    </row>
    <row r="277">
      <c r="C277" s="22"/>
      <c r="D277" s="22"/>
      <c r="E277" s="22"/>
      <c r="F277" s="22"/>
      <c r="G277" s="22"/>
      <c r="H277" s="22"/>
      <c r="I277" s="22"/>
      <c r="J277" s="22"/>
    </row>
    <row r="278">
      <c r="C278" s="22"/>
      <c r="D278" s="22"/>
      <c r="E278" s="22"/>
      <c r="F278" s="22"/>
      <c r="G278" s="22"/>
      <c r="H278" s="22"/>
      <c r="I278" s="22"/>
      <c r="J278" s="22"/>
    </row>
    <row r="279">
      <c r="C279" s="22"/>
      <c r="D279" s="22"/>
      <c r="E279" s="22"/>
      <c r="F279" s="22"/>
      <c r="G279" s="22"/>
      <c r="H279" s="22"/>
      <c r="I279" s="22"/>
      <c r="J279" s="22"/>
    </row>
    <row r="280">
      <c r="C280" s="22"/>
      <c r="D280" s="22"/>
      <c r="E280" s="22"/>
      <c r="F280" s="22"/>
      <c r="G280" s="22"/>
      <c r="H280" s="22"/>
      <c r="I280" s="22"/>
      <c r="J280" s="22"/>
    </row>
    <row r="281">
      <c r="C281" s="22"/>
      <c r="D281" s="22"/>
      <c r="E281" s="22"/>
      <c r="F281" s="22"/>
      <c r="G281" s="22"/>
      <c r="H281" s="22"/>
      <c r="I281" s="22"/>
      <c r="J281" s="22"/>
    </row>
    <row r="282">
      <c r="C282" s="22"/>
      <c r="D282" s="22"/>
      <c r="E282" s="22"/>
      <c r="F282" s="22"/>
      <c r="G282" s="22"/>
      <c r="H282" s="22"/>
      <c r="I282" s="22"/>
      <c r="J282" s="22"/>
    </row>
    <row r="283">
      <c r="C283" s="22"/>
      <c r="D283" s="22"/>
      <c r="E283" s="22"/>
      <c r="F283" s="22"/>
      <c r="G283" s="22"/>
      <c r="H283" s="22"/>
      <c r="I283" s="22"/>
      <c r="J283" s="22"/>
    </row>
    <row r="284">
      <c r="C284" s="22"/>
      <c r="D284" s="22"/>
      <c r="E284" s="22"/>
      <c r="F284" s="22"/>
      <c r="G284" s="22"/>
      <c r="H284" s="22"/>
      <c r="I284" s="22"/>
      <c r="J284" s="22"/>
    </row>
    <row r="285">
      <c r="C285" s="22"/>
      <c r="D285" s="22"/>
      <c r="E285" s="22"/>
      <c r="F285" s="22"/>
      <c r="G285" s="22"/>
      <c r="H285" s="22"/>
      <c r="I285" s="22"/>
      <c r="J285" s="22"/>
    </row>
    <row r="286">
      <c r="C286" s="22"/>
      <c r="D286" s="22"/>
      <c r="E286" s="22"/>
      <c r="F286" s="22"/>
      <c r="G286" s="22"/>
      <c r="H286" s="22"/>
      <c r="I286" s="22"/>
      <c r="J286" s="22"/>
    </row>
    <row r="287">
      <c r="C287" s="22"/>
      <c r="D287" s="22"/>
      <c r="E287" s="22"/>
      <c r="F287" s="22"/>
      <c r="G287" s="22"/>
      <c r="H287" s="22"/>
      <c r="I287" s="22"/>
      <c r="J287" s="22"/>
    </row>
    <row r="288">
      <c r="C288" s="22"/>
      <c r="D288" s="22"/>
      <c r="E288" s="22"/>
      <c r="F288" s="22"/>
      <c r="G288" s="22"/>
      <c r="H288" s="22"/>
      <c r="I288" s="22"/>
      <c r="J288" s="22"/>
    </row>
    <row r="289">
      <c r="C289" s="22"/>
      <c r="D289" s="22"/>
      <c r="E289" s="22"/>
      <c r="F289" s="22"/>
      <c r="G289" s="22"/>
      <c r="H289" s="22"/>
      <c r="I289" s="22"/>
      <c r="J289" s="22"/>
    </row>
    <row r="290">
      <c r="C290" s="22"/>
      <c r="D290" s="22"/>
      <c r="E290" s="22"/>
      <c r="F290" s="22"/>
      <c r="G290" s="22"/>
      <c r="H290" s="22"/>
      <c r="I290" s="22"/>
      <c r="J290" s="22"/>
    </row>
    <row r="291">
      <c r="C291" s="22"/>
      <c r="D291" s="22"/>
      <c r="E291" s="22"/>
      <c r="F291" s="22"/>
      <c r="G291" s="22"/>
      <c r="H291" s="22"/>
      <c r="I291" s="22"/>
      <c r="J291" s="22"/>
    </row>
    <row r="292">
      <c r="C292" s="22"/>
      <c r="D292" s="22"/>
      <c r="E292" s="22"/>
      <c r="F292" s="22"/>
      <c r="G292" s="22"/>
      <c r="H292" s="22"/>
      <c r="I292" s="22"/>
      <c r="J292" s="22"/>
    </row>
    <row r="293">
      <c r="C293" s="22"/>
      <c r="D293" s="22"/>
      <c r="E293" s="22"/>
      <c r="F293" s="22"/>
      <c r="G293" s="22"/>
      <c r="H293" s="22"/>
      <c r="I293" s="22"/>
      <c r="J293" s="22"/>
    </row>
    <row r="294">
      <c r="C294" s="22"/>
      <c r="D294" s="22"/>
      <c r="E294" s="22"/>
      <c r="F294" s="22"/>
      <c r="G294" s="22"/>
      <c r="H294" s="22"/>
      <c r="I294" s="22"/>
      <c r="J294" s="22"/>
    </row>
    <row r="295">
      <c r="C295" s="22"/>
      <c r="D295" s="22"/>
      <c r="E295" s="22"/>
      <c r="F295" s="22"/>
      <c r="G295" s="22"/>
      <c r="H295" s="22"/>
      <c r="I295" s="22"/>
      <c r="J295" s="22"/>
    </row>
    <row r="296">
      <c r="C296" s="22"/>
      <c r="D296" s="22"/>
      <c r="E296" s="22"/>
      <c r="F296" s="22"/>
      <c r="G296" s="22"/>
      <c r="H296" s="22"/>
      <c r="I296" s="22"/>
      <c r="J296" s="22"/>
    </row>
    <row r="297">
      <c r="C297" s="22"/>
      <c r="D297" s="22"/>
      <c r="E297" s="22"/>
      <c r="F297" s="22"/>
      <c r="G297" s="22"/>
      <c r="H297" s="22"/>
      <c r="I297" s="22"/>
      <c r="J297" s="22"/>
    </row>
    <row r="298">
      <c r="C298" s="22"/>
      <c r="D298" s="22"/>
      <c r="E298" s="22"/>
      <c r="F298" s="22"/>
      <c r="G298" s="22"/>
      <c r="H298" s="22"/>
      <c r="I298" s="22"/>
      <c r="J298" s="22"/>
    </row>
    <row r="299">
      <c r="C299" s="22"/>
      <c r="D299" s="22"/>
      <c r="E299" s="22"/>
      <c r="F299" s="22"/>
      <c r="G299" s="22"/>
      <c r="H299" s="22"/>
      <c r="I299" s="22"/>
      <c r="J299" s="22"/>
    </row>
    <row r="300">
      <c r="C300" s="22"/>
      <c r="D300" s="22"/>
      <c r="E300" s="22"/>
      <c r="F300" s="22"/>
      <c r="G300" s="22"/>
      <c r="H300" s="22"/>
      <c r="I300" s="22"/>
      <c r="J300" s="22"/>
    </row>
    <row r="301">
      <c r="C301" s="22"/>
      <c r="D301" s="22"/>
      <c r="E301" s="22"/>
      <c r="F301" s="22"/>
      <c r="G301" s="22"/>
      <c r="H301" s="22"/>
      <c r="I301" s="22"/>
      <c r="J301" s="22"/>
    </row>
    <row r="302">
      <c r="C302" s="22"/>
      <c r="D302" s="22"/>
      <c r="E302" s="22"/>
      <c r="F302" s="22"/>
      <c r="G302" s="22"/>
      <c r="H302" s="22"/>
      <c r="I302" s="22"/>
      <c r="J302" s="22"/>
    </row>
    <row r="303">
      <c r="C303" s="22"/>
      <c r="D303" s="22"/>
      <c r="E303" s="22"/>
      <c r="F303" s="22"/>
      <c r="G303" s="22"/>
      <c r="H303" s="22"/>
      <c r="I303" s="22"/>
      <c r="J303" s="22"/>
    </row>
    <row r="304">
      <c r="C304" s="22"/>
      <c r="D304" s="22"/>
      <c r="E304" s="22"/>
      <c r="F304" s="22"/>
      <c r="G304" s="22"/>
      <c r="H304" s="22"/>
      <c r="I304" s="22"/>
      <c r="J304" s="22"/>
    </row>
    <row r="305">
      <c r="C305" s="22"/>
      <c r="D305" s="22"/>
      <c r="E305" s="22"/>
      <c r="F305" s="22"/>
      <c r="G305" s="22"/>
      <c r="H305" s="22"/>
      <c r="I305" s="22"/>
      <c r="J305" s="22"/>
    </row>
    <row r="306">
      <c r="C306" s="22"/>
      <c r="D306" s="22"/>
      <c r="E306" s="22"/>
      <c r="F306" s="22"/>
      <c r="G306" s="22"/>
      <c r="H306" s="22"/>
      <c r="I306" s="22"/>
      <c r="J306" s="22"/>
    </row>
    <row r="307">
      <c r="C307" s="22"/>
      <c r="D307" s="22"/>
      <c r="E307" s="22"/>
      <c r="F307" s="22"/>
      <c r="G307" s="22"/>
      <c r="H307" s="22"/>
      <c r="I307" s="22"/>
      <c r="J307" s="22"/>
    </row>
    <row r="308">
      <c r="C308" s="22"/>
      <c r="D308" s="22"/>
      <c r="E308" s="22"/>
      <c r="F308" s="22"/>
      <c r="G308" s="22"/>
      <c r="H308" s="22"/>
      <c r="I308" s="22"/>
      <c r="J308" s="22"/>
    </row>
    <row r="309">
      <c r="C309" s="22"/>
      <c r="D309" s="22"/>
      <c r="E309" s="22"/>
      <c r="F309" s="22"/>
      <c r="G309" s="22"/>
      <c r="H309" s="22"/>
      <c r="I309" s="22"/>
      <c r="J309" s="22"/>
    </row>
    <row r="310">
      <c r="C310" s="22"/>
      <c r="D310" s="22"/>
      <c r="E310" s="22"/>
      <c r="F310" s="22"/>
      <c r="G310" s="22"/>
      <c r="H310" s="22"/>
      <c r="I310" s="22"/>
      <c r="J310" s="22"/>
    </row>
    <row r="311">
      <c r="C311" s="22"/>
      <c r="D311" s="22"/>
      <c r="E311" s="22"/>
      <c r="F311" s="22"/>
      <c r="G311" s="22"/>
      <c r="H311" s="22"/>
      <c r="I311" s="22"/>
      <c r="J311" s="22"/>
    </row>
    <row r="312">
      <c r="C312" s="22"/>
      <c r="D312" s="22"/>
      <c r="E312" s="22"/>
      <c r="F312" s="22"/>
      <c r="G312" s="22"/>
      <c r="H312" s="22"/>
      <c r="I312" s="22"/>
      <c r="J312" s="22"/>
    </row>
    <row r="313">
      <c r="C313" s="22"/>
      <c r="D313" s="22"/>
      <c r="E313" s="22"/>
      <c r="F313" s="22"/>
      <c r="G313" s="22"/>
      <c r="H313" s="22"/>
      <c r="I313" s="22"/>
      <c r="J313" s="22"/>
    </row>
    <row r="314">
      <c r="C314" s="22"/>
      <c r="D314" s="22"/>
      <c r="E314" s="22"/>
      <c r="F314" s="22"/>
      <c r="G314" s="22"/>
      <c r="H314" s="22"/>
      <c r="I314" s="22"/>
      <c r="J314" s="22"/>
    </row>
    <row r="315">
      <c r="C315" s="22"/>
      <c r="D315" s="22"/>
      <c r="E315" s="22"/>
      <c r="F315" s="22"/>
      <c r="G315" s="22"/>
      <c r="H315" s="22"/>
      <c r="I315" s="22"/>
      <c r="J315" s="22"/>
    </row>
    <row r="316">
      <c r="C316" s="22"/>
      <c r="D316" s="22"/>
      <c r="E316" s="22"/>
      <c r="F316" s="22"/>
      <c r="G316" s="22"/>
      <c r="H316" s="22"/>
      <c r="I316" s="22"/>
      <c r="J316" s="22"/>
    </row>
    <row r="317">
      <c r="C317" s="22"/>
      <c r="D317" s="22"/>
      <c r="E317" s="22"/>
      <c r="F317" s="22"/>
      <c r="G317" s="22"/>
      <c r="H317" s="22"/>
      <c r="I317" s="22"/>
      <c r="J317" s="22"/>
    </row>
    <row r="318">
      <c r="C318" s="22"/>
      <c r="D318" s="22"/>
      <c r="E318" s="22"/>
      <c r="F318" s="22"/>
      <c r="G318" s="22"/>
      <c r="H318" s="22"/>
      <c r="I318" s="22"/>
      <c r="J318" s="22"/>
    </row>
    <row r="319">
      <c r="C319" s="22"/>
      <c r="D319" s="22"/>
      <c r="E319" s="22"/>
      <c r="F319" s="22"/>
      <c r="G319" s="22"/>
      <c r="H319" s="22"/>
      <c r="I319" s="22"/>
      <c r="J319" s="22"/>
    </row>
    <row r="320">
      <c r="C320" s="22"/>
      <c r="D320" s="22"/>
      <c r="E320" s="22"/>
      <c r="F320" s="22"/>
      <c r="G320" s="22"/>
      <c r="H320" s="22"/>
      <c r="I320" s="22"/>
      <c r="J320" s="22"/>
    </row>
    <row r="321">
      <c r="C321" s="22"/>
      <c r="D321" s="22"/>
      <c r="E321" s="22"/>
      <c r="F321" s="22"/>
      <c r="G321" s="22"/>
      <c r="H321" s="22"/>
      <c r="I321" s="22"/>
      <c r="J321" s="22"/>
    </row>
    <row r="322">
      <c r="C322" s="22"/>
      <c r="D322" s="22"/>
      <c r="E322" s="22"/>
      <c r="F322" s="22"/>
      <c r="G322" s="22"/>
      <c r="H322" s="22"/>
      <c r="I322" s="22"/>
      <c r="J322" s="22"/>
    </row>
    <row r="323">
      <c r="C323" s="22"/>
      <c r="D323" s="22"/>
      <c r="E323" s="22"/>
      <c r="F323" s="22"/>
      <c r="G323" s="22"/>
      <c r="H323" s="22"/>
      <c r="I323" s="22"/>
      <c r="J323" s="22"/>
    </row>
    <row r="324">
      <c r="C324" s="22"/>
      <c r="D324" s="22"/>
      <c r="E324" s="22"/>
      <c r="F324" s="22"/>
      <c r="G324" s="22"/>
      <c r="H324" s="22"/>
      <c r="I324" s="22"/>
      <c r="J324" s="22"/>
    </row>
    <row r="325">
      <c r="C325" s="22"/>
      <c r="D325" s="22"/>
      <c r="E325" s="22"/>
      <c r="F325" s="22"/>
      <c r="G325" s="22"/>
      <c r="H325" s="22"/>
      <c r="I325" s="22"/>
      <c r="J325" s="22"/>
    </row>
    <row r="326">
      <c r="C326" s="22"/>
      <c r="D326" s="22"/>
      <c r="E326" s="22"/>
      <c r="F326" s="22"/>
      <c r="G326" s="22"/>
      <c r="H326" s="22"/>
      <c r="I326" s="22"/>
      <c r="J326" s="22"/>
    </row>
    <row r="327">
      <c r="C327" s="22"/>
      <c r="D327" s="22"/>
      <c r="E327" s="22"/>
      <c r="F327" s="22"/>
      <c r="G327" s="22"/>
      <c r="H327" s="22"/>
      <c r="I327" s="22"/>
      <c r="J327" s="22"/>
    </row>
    <row r="328">
      <c r="C328" s="22"/>
      <c r="D328" s="22"/>
      <c r="E328" s="22"/>
      <c r="F328" s="22"/>
      <c r="G328" s="22"/>
      <c r="H328" s="22"/>
      <c r="I328" s="22"/>
      <c r="J328" s="22"/>
    </row>
    <row r="329">
      <c r="C329" s="22"/>
      <c r="D329" s="22"/>
      <c r="E329" s="22"/>
      <c r="F329" s="22"/>
      <c r="G329" s="22"/>
      <c r="H329" s="22"/>
      <c r="I329" s="22"/>
      <c r="J329" s="22"/>
    </row>
    <row r="330">
      <c r="C330" s="22"/>
      <c r="D330" s="22"/>
      <c r="E330" s="22"/>
      <c r="F330" s="22"/>
      <c r="G330" s="22"/>
      <c r="H330" s="22"/>
      <c r="I330" s="22"/>
      <c r="J330" s="22"/>
    </row>
    <row r="331">
      <c r="C331" s="22"/>
      <c r="D331" s="22"/>
      <c r="E331" s="22"/>
      <c r="F331" s="22"/>
      <c r="G331" s="22"/>
      <c r="H331" s="22"/>
      <c r="I331" s="22"/>
      <c r="J331" s="22"/>
    </row>
    <row r="332">
      <c r="C332" s="22"/>
      <c r="D332" s="22"/>
      <c r="E332" s="22"/>
      <c r="F332" s="22"/>
      <c r="G332" s="22"/>
      <c r="H332" s="22"/>
      <c r="I332" s="22"/>
      <c r="J332" s="22"/>
    </row>
    <row r="333">
      <c r="C333" s="22"/>
      <c r="D333" s="22"/>
      <c r="E333" s="22"/>
      <c r="F333" s="22"/>
      <c r="G333" s="22"/>
      <c r="H333" s="22"/>
      <c r="I333" s="22"/>
      <c r="J333" s="22"/>
    </row>
    <row r="334">
      <c r="C334" s="22"/>
      <c r="D334" s="22"/>
      <c r="E334" s="22"/>
      <c r="F334" s="22"/>
      <c r="G334" s="22"/>
      <c r="H334" s="22"/>
      <c r="I334" s="22"/>
      <c r="J334" s="22"/>
    </row>
    <row r="335">
      <c r="C335" s="22"/>
      <c r="D335" s="22"/>
      <c r="E335" s="22"/>
      <c r="F335" s="22"/>
      <c r="G335" s="22"/>
      <c r="H335" s="22"/>
      <c r="I335" s="22"/>
      <c r="J335" s="22"/>
    </row>
    <row r="336">
      <c r="C336" s="22"/>
      <c r="D336" s="22"/>
      <c r="E336" s="22"/>
      <c r="F336" s="22"/>
      <c r="G336" s="22"/>
      <c r="H336" s="22"/>
      <c r="I336" s="22"/>
      <c r="J336" s="22"/>
    </row>
    <row r="337">
      <c r="C337" s="22"/>
      <c r="D337" s="22"/>
      <c r="E337" s="22"/>
      <c r="F337" s="22"/>
      <c r="G337" s="22"/>
      <c r="H337" s="22"/>
      <c r="I337" s="22"/>
      <c r="J337" s="22"/>
    </row>
    <row r="338">
      <c r="C338" s="22"/>
      <c r="D338" s="22"/>
      <c r="E338" s="22"/>
      <c r="F338" s="22"/>
      <c r="G338" s="22"/>
      <c r="H338" s="22"/>
      <c r="I338" s="22"/>
      <c r="J338" s="22"/>
    </row>
    <row r="339">
      <c r="C339" s="22"/>
      <c r="D339" s="22"/>
      <c r="E339" s="22"/>
      <c r="F339" s="22"/>
      <c r="G339" s="22"/>
      <c r="H339" s="22"/>
      <c r="I339" s="22"/>
      <c r="J339" s="22"/>
    </row>
    <row r="340">
      <c r="C340" s="22"/>
      <c r="D340" s="22"/>
      <c r="E340" s="22"/>
      <c r="F340" s="22"/>
      <c r="G340" s="22"/>
      <c r="H340" s="22"/>
      <c r="I340" s="22"/>
      <c r="J340" s="22"/>
    </row>
    <row r="341">
      <c r="C341" s="22"/>
      <c r="D341" s="22"/>
      <c r="E341" s="22"/>
      <c r="F341" s="22"/>
      <c r="G341" s="22"/>
      <c r="H341" s="22"/>
      <c r="I341" s="22"/>
      <c r="J341" s="22"/>
    </row>
    <row r="342">
      <c r="C342" s="22"/>
      <c r="D342" s="22"/>
      <c r="E342" s="22"/>
      <c r="F342" s="22"/>
      <c r="G342" s="22"/>
      <c r="H342" s="22"/>
      <c r="I342" s="22"/>
      <c r="J342" s="22"/>
    </row>
    <row r="343">
      <c r="C343" s="22"/>
      <c r="D343" s="22"/>
      <c r="E343" s="22"/>
      <c r="F343" s="22"/>
      <c r="G343" s="22"/>
      <c r="H343" s="22"/>
      <c r="I343" s="22"/>
      <c r="J343" s="22"/>
    </row>
    <row r="344">
      <c r="C344" s="22"/>
      <c r="D344" s="22"/>
      <c r="E344" s="22"/>
      <c r="F344" s="22"/>
      <c r="G344" s="22"/>
      <c r="H344" s="22"/>
      <c r="I344" s="22"/>
      <c r="J344" s="22"/>
    </row>
    <row r="345">
      <c r="C345" s="22"/>
      <c r="D345" s="22"/>
      <c r="E345" s="22"/>
      <c r="F345" s="22"/>
      <c r="G345" s="22"/>
      <c r="H345" s="22"/>
      <c r="I345" s="22"/>
      <c r="J345" s="22"/>
    </row>
    <row r="346">
      <c r="C346" s="22"/>
      <c r="D346" s="22"/>
      <c r="E346" s="22"/>
      <c r="F346" s="22"/>
      <c r="G346" s="22"/>
      <c r="H346" s="22"/>
      <c r="I346" s="22"/>
      <c r="J346" s="22"/>
    </row>
    <row r="347">
      <c r="C347" s="22"/>
      <c r="D347" s="22"/>
      <c r="E347" s="22"/>
      <c r="F347" s="22"/>
      <c r="G347" s="22"/>
      <c r="H347" s="22"/>
      <c r="I347" s="22"/>
      <c r="J347" s="22"/>
    </row>
    <row r="348">
      <c r="C348" s="22"/>
      <c r="D348" s="22"/>
      <c r="E348" s="22"/>
      <c r="F348" s="22"/>
      <c r="G348" s="22"/>
      <c r="H348" s="22"/>
      <c r="I348" s="22"/>
      <c r="J348" s="22"/>
    </row>
    <row r="349">
      <c r="C349" s="22"/>
      <c r="D349" s="22"/>
      <c r="E349" s="22"/>
      <c r="F349" s="22"/>
      <c r="G349" s="22"/>
      <c r="H349" s="22"/>
      <c r="I349" s="22"/>
      <c r="J349" s="22"/>
    </row>
    <row r="350">
      <c r="C350" s="22"/>
      <c r="D350" s="22"/>
      <c r="E350" s="22"/>
      <c r="F350" s="22"/>
      <c r="G350" s="22"/>
      <c r="H350" s="22"/>
      <c r="I350" s="22"/>
      <c r="J350" s="22"/>
    </row>
    <row r="351">
      <c r="C351" s="22"/>
      <c r="D351" s="22"/>
      <c r="E351" s="22"/>
      <c r="F351" s="22"/>
      <c r="G351" s="22"/>
      <c r="H351" s="22"/>
      <c r="I351" s="22"/>
      <c r="J351" s="22"/>
    </row>
    <row r="352">
      <c r="C352" s="22"/>
      <c r="D352" s="22"/>
      <c r="E352" s="22"/>
      <c r="F352" s="22"/>
      <c r="G352" s="22"/>
      <c r="H352" s="22"/>
      <c r="I352" s="22"/>
      <c r="J352" s="22"/>
    </row>
    <row r="353">
      <c r="C353" s="22"/>
      <c r="D353" s="22"/>
      <c r="E353" s="22"/>
      <c r="F353" s="22"/>
      <c r="G353" s="22"/>
      <c r="H353" s="22"/>
      <c r="I353" s="22"/>
      <c r="J353" s="22"/>
    </row>
    <row r="354">
      <c r="C354" s="22"/>
      <c r="D354" s="22"/>
      <c r="E354" s="22"/>
      <c r="F354" s="22"/>
      <c r="G354" s="22"/>
      <c r="H354" s="22"/>
      <c r="I354" s="22"/>
      <c r="J354" s="22"/>
    </row>
    <row r="355">
      <c r="C355" s="22"/>
      <c r="D355" s="22"/>
      <c r="E355" s="22"/>
      <c r="F355" s="22"/>
      <c r="G355" s="22"/>
      <c r="H355" s="22"/>
      <c r="I355" s="22"/>
      <c r="J355" s="22"/>
    </row>
    <row r="356">
      <c r="C356" s="22"/>
      <c r="D356" s="22"/>
      <c r="E356" s="22"/>
      <c r="F356" s="22"/>
      <c r="G356" s="22"/>
      <c r="H356" s="22"/>
      <c r="I356" s="22"/>
      <c r="J356" s="22"/>
    </row>
    <row r="357">
      <c r="C357" s="22"/>
      <c r="D357" s="22"/>
      <c r="E357" s="22"/>
      <c r="F357" s="22"/>
      <c r="G357" s="22"/>
      <c r="H357" s="22"/>
      <c r="I357" s="22"/>
      <c r="J357" s="22"/>
    </row>
    <row r="358">
      <c r="C358" s="22"/>
      <c r="D358" s="22"/>
      <c r="E358" s="22"/>
      <c r="F358" s="22"/>
      <c r="G358" s="22"/>
      <c r="H358" s="22"/>
      <c r="I358" s="22"/>
      <c r="J358" s="22"/>
    </row>
    <row r="359">
      <c r="C359" s="22"/>
      <c r="D359" s="22"/>
      <c r="E359" s="22"/>
      <c r="F359" s="22"/>
      <c r="G359" s="22"/>
      <c r="H359" s="22"/>
      <c r="I359" s="22"/>
      <c r="J359" s="22"/>
    </row>
    <row r="360">
      <c r="C360" s="22"/>
      <c r="D360" s="22"/>
      <c r="E360" s="22"/>
      <c r="F360" s="22"/>
      <c r="G360" s="22"/>
      <c r="H360" s="22"/>
      <c r="I360" s="22"/>
      <c r="J360" s="22"/>
    </row>
    <row r="361">
      <c r="C361" s="22"/>
      <c r="D361" s="22"/>
      <c r="E361" s="22"/>
      <c r="F361" s="22"/>
      <c r="G361" s="22"/>
      <c r="H361" s="22"/>
      <c r="I361" s="22"/>
      <c r="J361" s="22"/>
    </row>
    <row r="362">
      <c r="C362" s="22"/>
      <c r="D362" s="22"/>
      <c r="E362" s="22"/>
      <c r="F362" s="22"/>
      <c r="G362" s="22"/>
      <c r="H362" s="22"/>
      <c r="I362" s="22"/>
      <c r="J362" s="22"/>
    </row>
    <row r="363">
      <c r="C363" s="22"/>
      <c r="D363" s="22"/>
      <c r="E363" s="22"/>
      <c r="F363" s="22"/>
      <c r="G363" s="22"/>
      <c r="H363" s="22"/>
      <c r="I363" s="22"/>
      <c r="J363" s="22"/>
    </row>
    <row r="364">
      <c r="C364" s="22"/>
      <c r="D364" s="22"/>
      <c r="E364" s="22"/>
      <c r="F364" s="22"/>
      <c r="G364" s="22"/>
      <c r="H364" s="22"/>
      <c r="I364" s="22"/>
      <c r="J364" s="22"/>
    </row>
    <row r="365">
      <c r="C365" s="22"/>
      <c r="D365" s="22"/>
      <c r="E365" s="22"/>
      <c r="F365" s="22"/>
      <c r="G365" s="22"/>
      <c r="H365" s="22"/>
      <c r="I365" s="22"/>
      <c r="J365" s="22"/>
    </row>
    <row r="366">
      <c r="C366" s="22"/>
      <c r="D366" s="22"/>
      <c r="E366" s="22"/>
      <c r="F366" s="22"/>
      <c r="G366" s="22"/>
      <c r="H366" s="22"/>
      <c r="I366" s="22"/>
      <c r="J366" s="22"/>
    </row>
    <row r="367">
      <c r="C367" s="22"/>
      <c r="D367" s="22"/>
      <c r="E367" s="22"/>
      <c r="F367" s="22"/>
      <c r="G367" s="22"/>
      <c r="H367" s="22"/>
      <c r="I367" s="22"/>
      <c r="J367" s="22"/>
    </row>
    <row r="368">
      <c r="C368" s="22"/>
      <c r="D368" s="22"/>
      <c r="E368" s="22"/>
      <c r="F368" s="22"/>
      <c r="G368" s="22"/>
      <c r="H368" s="22"/>
      <c r="I368" s="22"/>
      <c r="J368" s="22"/>
    </row>
    <row r="369">
      <c r="C369" s="22"/>
      <c r="D369" s="22"/>
      <c r="E369" s="22"/>
      <c r="F369" s="22"/>
      <c r="G369" s="22"/>
      <c r="H369" s="22"/>
      <c r="I369" s="22"/>
      <c r="J369" s="22"/>
    </row>
    <row r="370">
      <c r="C370" s="22"/>
      <c r="D370" s="22"/>
      <c r="E370" s="22"/>
      <c r="F370" s="22"/>
      <c r="G370" s="22"/>
      <c r="H370" s="22"/>
      <c r="I370" s="22"/>
      <c r="J370" s="22"/>
    </row>
    <row r="371">
      <c r="C371" s="22"/>
      <c r="D371" s="22"/>
      <c r="E371" s="22"/>
      <c r="F371" s="22"/>
      <c r="G371" s="22"/>
      <c r="H371" s="22"/>
      <c r="I371" s="22"/>
      <c r="J371" s="22"/>
    </row>
    <row r="372">
      <c r="C372" s="22"/>
      <c r="D372" s="22"/>
      <c r="E372" s="22"/>
      <c r="F372" s="22"/>
      <c r="G372" s="22"/>
      <c r="H372" s="22"/>
      <c r="I372" s="22"/>
      <c r="J372" s="22"/>
    </row>
    <row r="373">
      <c r="C373" s="22"/>
      <c r="D373" s="22"/>
      <c r="E373" s="22"/>
      <c r="F373" s="22"/>
      <c r="G373" s="22"/>
      <c r="H373" s="22"/>
      <c r="I373" s="22"/>
      <c r="J373" s="22"/>
    </row>
    <row r="374">
      <c r="C374" s="22"/>
      <c r="D374" s="22"/>
      <c r="E374" s="22"/>
      <c r="F374" s="22"/>
      <c r="G374" s="22"/>
      <c r="H374" s="22"/>
      <c r="I374" s="22"/>
      <c r="J374" s="22"/>
    </row>
    <row r="375">
      <c r="C375" s="22"/>
      <c r="D375" s="22"/>
      <c r="E375" s="22"/>
      <c r="F375" s="22"/>
      <c r="G375" s="22"/>
      <c r="H375" s="22"/>
      <c r="I375" s="22"/>
      <c r="J375" s="22"/>
    </row>
    <row r="376">
      <c r="C376" s="22"/>
      <c r="D376" s="22"/>
      <c r="E376" s="22"/>
      <c r="F376" s="22"/>
      <c r="G376" s="22"/>
      <c r="H376" s="22"/>
      <c r="I376" s="22"/>
      <c r="J376" s="22"/>
    </row>
    <row r="377">
      <c r="C377" s="22"/>
      <c r="D377" s="22"/>
      <c r="E377" s="22"/>
      <c r="F377" s="22"/>
      <c r="G377" s="22"/>
      <c r="H377" s="22"/>
      <c r="I377" s="22"/>
      <c r="J377" s="22"/>
    </row>
    <row r="378">
      <c r="C378" s="22"/>
      <c r="D378" s="22"/>
      <c r="E378" s="22"/>
      <c r="F378" s="22"/>
      <c r="G378" s="22"/>
      <c r="H378" s="22"/>
      <c r="I378" s="22"/>
      <c r="J378" s="22"/>
    </row>
    <row r="379">
      <c r="C379" s="22"/>
      <c r="D379" s="22"/>
      <c r="E379" s="22"/>
      <c r="F379" s="22"/>
      <c r="G379" s="22"/>
      <c r="H379" s="22"/>
      <c r="I379" s="22"/>
      <c r="J379" s="22"/>
    </row>
    <row r="380">
      <c r="C380" s="22"/>
      <c r="D380" s="22"/>
      <c r="E380" s="22"/>
      <c r="F380" s="22"/>
      <c r="G380" s="22"/>
      <c r="H380" s="22"/>
      <c r="I380" s="22"/>
      <c r="J380" s="22"/>
    </row>
    <row r="381">
      <c r="C381" s="22"/>
      <c r="D381" s="22"/>
      <c r="E381" s="22"/>
      <c r="F381" s="22"/>
      <c r="G381" s="22"/>
      <c r="H381" s="22"/>
      <c r="I381" s="22"/>
      <c r="J381" s="22"/>
    </row>
    <row r="382">
      <c r="C382" s="22"/>
      <c r="D382" s="22"/>
      <c r="E382" s="22"/>
      <c r="F382" s="22"/>
      <c r="G382" s="22"/>
      <c r="H382" s="22"/>
      <c r="I382" s="22"/>
      <c r="J382" s="22"/>
    </row>
    <row r="383">
      <c r="C383" s="22"/>
      <c r="D383" s="22"/>
      <c r="E383" s="22"/>
      <c r="F383" s="22"/>
      <c r="G383" s="22"/>
      <c r="H383" s="22"/>
      <c r="I383" s="22"/>
      <c r="J383" s="22"/>
    </row>
    <row r="384">
      <c r="C384" s="22"/>
      <c r="D384" s="22"/>
      <c r="E384" s="22"/>
      <c r="F384" s="22"/>
      <c r="G384" s="22"/>
      <c r="H384" s="22"/>
      <c r="I384" s="22"/>
      <c r="J384" s="22"/>
    </row>
    <row r="385">
      <c r="C385" s="22"/>
      <c r="D385" s="22"/>
      <c r="E385" s="22"/>
      <c r="F385" s="22"/>
      <c r="G385" s="22"/>
      <c r="H385" s="22"/>
      <c r="I385" s="22"/>
      <c r="J385" s="22"/>
    </row>
    <row r="386">
      <c r="C386" s="22"/>
      <c r="D386" s="22"/>
      <c r="E386" s="22"/>
      <c r="F386" s="22"/>
      <c r="G386" s="22"/>
      <c r="H386" s="22"/>
      <c r="I386" s="22"/>
      <c r="J386" s="22"/>
    </row>
    <row r="387">
      <c r="C387" s="22"/>
      <c r="D387" s="22"/>
      <c r="E387" s="22"/>
      <c r="F387" s="22"/>
      <c r="G387" s="22"/>
      <c r="H387" s="22"/>
      <c r="I387" s="22"/>
      <c r="J387" s="22"/>
    </row>
    <row r="388">
      <c r="C388" s="22"/>
      <c r="D388" s="22"/>
      <c r="E388" s="22"/>
      <c r="F388" s="22"/>
      <c r="G388" s="22"/>
      <c r="H388" s="22"/>
      <c r="I388" s="22"/>
      <c r="J388" s="22"/>
    </row>
    <row r="389">
      <c r="C389" s="22"/>
      <c r="D389" s="22"/>
      <c r="E389" s="22"/>
      <c r="F389" s="22"/>
      <c r="G389" s="22"/>
      <c r="H389" s="22"/>
      <c r="I389" s="22"/>
      <c r="J389" s="22"/>
    </row>
    <row r="390">
      <c r="C390" s="22"/>
      <c r="D390" s="22"/>
      <c r="E390" s="22"/>
      <c r="F390" s="22"/>
      <c r="G390" s="22"/>
      <c r="H390" s="22"/>
      <c r="I390" s="22"/>
      <c r="J390" s="22"/>
    </row>
    <row r="391">
      <c r="C391" s="22"/>
      <c r="D391" s="22"/>
      <c r="E391" s="22"/>
      <c r="F391" s="22"/>
      <c r="G391" s="22"/>
      <c r="H391" s="22"/>
      <c r="I391" s="22"/>
      <c r="J391" s="22"/>
    </row>
    <row r="392">
      <c r="C392" s="22"/>
      <c r="D392" s="22"/>
      <c r="E392" s="22"/>
      <c r="F392" s="22"/>
      <c r="G392" s="22"/>
      <c r="H392" s="22"/>
      <c r="I392" s="22"/>
      <c r="J392" s="22"/>
    </row>
    <row r="393">
      <c r="C393" s="22"/>
      <c r="D393" s="22"/>
      <c r="E393" s="22"/>
      <c r="F393" s="22"/>
      <c r="G393" s="22"/>
      <c r="H393" s="22"/>
      <c r="I393" s="22"/>
      <c r="J393" s="22"/>
    </row>
    <row r="394">
      <c r="C394" s="22"/>
      <c r="D394" s="22"/>
      <c r="E394" s="22"/>
      <c r="F394" s="22"/>
      <c r="G394" s="22"/>
      <c r="H394" s="22"/>
      <c r="I394" s="22"/>
      <c r="J394" s="22"/>
    </row>
    <row r="395">
      <c r="C395" s="22"/>
      <c r="D395" s="22"/>
      <c r="E395" s="22"/>
      <c r="F395" s="22"/>
      <c r="G395" s="22"/>
      <c r="H395" s="22"/>
      <c r="I395" s="22"/>
      <c r="J395" s="22"/>
    </row>
    <row r="396">
      <c r="C396" s="22"/>
      <c r="D396" s="22"/>
      <c r="E396" s="22"/>
      <c r="F396" s="22"/>
      <c r="G396" s="22"/>
      <c r="H396" s="22"/>
      <c r="I396" s="22"/>
      <c r="J396" s="22"/>
    </row>
    <row r="397">
      <c r="C397" s="22"/>
      <c r="D397" s="22"/>
      <c r="E397" s="22"/>
      <c r="F397" s="22"/>
      <c r="G397" s="22"/>
      <c r="H397" s="22"/>
      <c r="I397" s="22"/>
      <c r="J397" s="22"/>
    </row>
    <row r="398">
      <c r="C398" s="22"/>
      <c r="D398" s="22"/>
      <c r="E398" s="22"/>
      <c r="F398" s="22"/>
      <c r="G398" s="22"/>
      <c r="H398" s="22"/>
      <c r="I398" s="22"/>
      <c r="J398" s="22"/>
    </row>
    <row r="399">
      <c r="C399" s="22"/>
      <c r="D399" s="22"/>
      <c r="E399" s="22"/>
      <c r="F399" s="22"/>
      <c r="G399" s="22"/>
      <c r="H399" s="22"/>
      <c r="I399" s="22"/>
      <c r="J399" s="22"/>
    </row>
    <row r="400">
      <c r="C400" s="22"/>
      <c r="D400" s="22"/>
      <c r="E400" s="22"/>
      <c r="F400" s="22"/>
      <c r="G400" s="22"/>
      <c r="H400" s="22"/>
      <c r="I400" s="22"/>
      <c r="J400" s="22"/>
    </row>
    <row r="401">
      <c r="C401" s="22"/>
      <c r="D401" s="22"/>
      <c r="E401" s="22"/>
      <c r="F401" s="22"/>
      <c r="G401" s="22"/>
      <c r="H401" s="22"/>
      <c r="I401" s="22"/>
      <c r="J401" s="22"/>
    </row>
    <row r="402">
      <c r="C402" s="22"/>
      <c r="D402" s="22"/>
      <c r="E402" s="22"/>
      <c r="F402" s="22"/>
      <c r="G402" s="22"/>
      <c r="H402" s="22"/>
      <c r="I402" s="22"/>
      <c r="J402" s="22"/>
    </row>
    <row r="403">
      <c r="C403" s="22"/>
      <c r="D403" s="22"/>
      <c r="E403" s="22"/>
      <c r="F403" s="22"/>
      <c r="G403" s="22"/>
      <c r="H403" s="22"/>
      <c r="I403" s="22"/>
      <c r="J403" s="22"/>
    </row>
    <row r="404">
      <c r="C404" s="22"/>
      <c r="D404" s="22"/>
      <c r="E404" s="22"/>
      <c r="F404" s="22"/>
      <c r="G404" s="22"/>
      <c r="H404" s="22"/>
      <c r="I404" s="22"/>
      <c r="J404" s="22"/>
    </row>
    <row r="405">
      <c r="C405" s="22"/>
      <c r="D405" s="22"/>
      <c r="E405" s="22"/>
      <c r="F405" s="22"/>
      <c r="G405" s="22"/>
      <c r="H405" s="22"/>
      <c r="I405" s="22"/>
      <c r="J405" s="22"/>
    </row>
    <row r="406">
      <c r="C406" s="22"/>
      <c r="D406" s="22"/>
      <c r="E406" s="22"/>
      <c r="F406" s="22"/>
      <c r="G406" s="22"/>
      <c r="H406" s="22"/>
      <c r="I406" s="22"/>
      <c r="J406" s="22"/>
    </row>
    <row r="407">
      <c r="C407" s="22"/>
      <c r="D407" s="22"/>
      <c r="E407" s="22"/>
      <c r="F407" s="22"/>
      <c r="G407" s="22"/>
      <c r="H407" s="22"/>
      <c r="I407" s="22"/>
      <c r="J407" s="22"/>
    </row>
    <row r="408">
      <c r="C408" s="22"/>
      <c r="D408" s="22"/>
      <c r="E408" s="22"/>
      <c r="F408" s="22"/>
      <c r="G408" s="22"/>
      <c r="H408" s="22"/>
      <c r="I408" s="22"/>
      <c r="J408" s="22"/>
    </row>
    <row r="409">
      <c r="C409" s="22"/>
      <c r="D409" s="22"/>
      <c r="E409" s="22"/>
      <c r="F409" s="22"/>
      <c r="G409" s="22"/>
      <c r="H409" s="22"/>
      <c r="I409" s="22"/>
      <c r="J409" s="22"/>
    </row>
    <row r="410">
      <c r="C410" s="22"/>
      <c r="D410" s="22"/>
      <c r="E410" s="22"/>
      <c r="F410" s="22"/>
      <c r="G410" s="22"/>
      <c r="H410" s="22"/>
      <c r="I410" s="22"/>
      <c r="J410" s="22"/>
    </row>
    <row r="411">
      <c r="C411" s="22"/>
      <c r="D411" s="22"/>
      <c r="E411" s="22"/>
      <c r="F411" s="22"/>
      <c r="G411" s="22"/>
      <c r="H411" s="22"/>
      <c r="I411" s="22"/>
      <c r="J411" s="22"/>
    </row>
    <row r="412">
      <c r="C412" s="22"/>
      <c r="D412" s="22"/>
      <c r="E412" s="22"/>
      <c r="F412" s="22"/>
      <c r="G412" s="22"/>
      <c r="H412" s="22"/>
      <c r="I412" s="22"/>
      <c r="J412" s="22"/>
    </row>
    <row r="413">
      <c r="C413" s="22"/>
      <c r="D413" s="22"/>
      <c r="E413" s="22"/>
      <c r="F413" s="22"/>
      <c r="G413" s="22"/>
      <c r="H413" s="22"/>
      <c r="I413" s="22"/>
      <c r="J413" s="22"/>
    </row>
    <row r="414">
      <c r="C414" s="22"/>
      <c r="D414" s="22"/>
      <c r="E414" s="22"/>
      <c r="F414" s="22"/>
      <c r="G414" s="22"/>
      <c r="H414" s="22"/>
      <c r="I414" s="22"/>
      <c r="J414" s="22"/>
    </row>
    <row r="415">
      <c r="C415" s="22"/>
      <c r="D415" s="22"/>
      <c r="E415" s="22"/>
      <c r="F415" s="22"/>
      <c r="G415" s="22"/>
      <c r="H415" s="22"/>
      <c r="I415" s="22"/>
      <c r="J415" s="22"/>
    </row>
    <row r="416">
      <c r="C416" s="22"/>
      <c r="D416" s="22"/>
      <c r="E416" s="22"/>
      <c r="F416" s="22"/>
      <c r="G416" s="22"/>
      <c r="H416" s="22"/>
      <c r="I416" s="22"/>
      <c r="J416" s="22"/>
    </row>
    <row r="417">
      <c r="C417" s="22"/>
      <c r="D417" s="22"/>
      <c r="E417" s="22"/>
      <c r="F417" s="22"/>
      <c r="G417" s="22"/>
      <c r="H417" s="22"/>
      <c r="I417" s="22"/>
      <c r="J417" s="22"/>
    </row>
    <row r="418">
      <c r="C418" s="22"/>
      <c r="D418" s="22"/>
      <c r="E418" s="22"/>
      <c r="F418" s="22"/>
      <c r="G418" s="22"/>
      <c r="H418" s="22"/>
      <c r="I418" s="22"/>
      <c r="J418" s="22"/>
    </row>
    <row r="419">
      <c r="C419" s="22"/>
      <c r="D419" s="22"/>
      <c r="E419" s="22"/>
      <c r="F419" s="22"/>
      <c r="G419" s="22"/>
      <c r="H419" s="22"/>
      <c r="I419" s="22"/>
      <c r="J419" s="22"/>
    </row>
    <row r="420">
      <c r="C420" s="22"/>
      <c r="D420" s="22"/>
      <c r="E420" s="22"/>
      <c r="F420" s="22"/>
      <c r="G420" s="22"/>
      <c r="H420" s="22"/>
      <c r="I420" s="22"/>
      <c r="J420" s="22"/>
    </row>
    <row r="421">
      <c r="C421" s="22"/>
      <c r="D421" s="22"/>
      <c r="E421" s="22"/>
      <c r="F421" s="22"/>
      <c r="G421" s="22"/>
      <c r="H421" s="22"/>
      <c r="I421" s="22"/>
      <c r="J421" s="22"/>
    </row>
    <row r="422">
      <c r="C422" s="22"/>
      <c r="D422" s="22"/>
      <c r="E422" s="22"/>
      <c r="F422" s="22"/>
      <c r="G422" s="22"/>
      <c r="H422" s="22"/>
      <c r="I422" s="22"/>
      <c r="J422" s="22"/>
    </row>
    <row r="423">
      <c r="C423" s="22"/>
      <c r="D423" s="22"/>
      <c r="E423" s="22"/>
      <c r="F423" s="22"/>
      <c r="G423" s="22"/>
      <c r="H423" s="22"/>
      <c r="I423" s="22"/>
      <c r="J423" s="22"/>
    </row>
    <row r="424">
      <c r="C424" s="22"/>
      <c r="D424" s="22"/>
      <c r="E424" s="22"/>
      <c r="F424" s="22"/>
      <c r="G424" s="22"/>
      <c r="H424" s="22"/>
      <c r="I424" s="22"/>
      <c r="J424" s="22"/>
    </row>
    <row r="425">
      <c r="C425" s="22"/>
      <c r="D425" s="22"/>
      <c r="E425" s="22"/>
      <c r="F425" s="22"/>
      <c r="G425" s="22"/>
      <c r="H425" s="22"/>
      <c r="I425" s="22"/>
      <c r="J425" s="22"/>
    </row>
    <row r="426">
      <c r="C426" s="22"/>
      <c r="D426" s="22"/>
      <c r="E426" s="22"/>
      <c r="F426" s="22"/>
      <c r="G426" s="22"/>
      <c r="H426" s="22"/>
      <c r="I426" s="22"/>
      <c r="J426" s="22"/>
    </row>
    <row r="427">
      <c r="C427" s="22"/>
      <c r="D427" s="22"/>
      <c r="E427" s="22"/>
      <c r="F427" s="22"/>
      <c r="G427" s="22"/>
      <c r="H427" s="22"/>
      <c r="I427" s="22"/>
      <c r="J427" s="22"/>
    </row>
    <row r="428">
      <c r="C428" s="22"/>
      <c r="D428" s="22"/>
      <c r="E428" s="22"/>
      <c r="F428" s="22"/>
      <c r="G428" s="22"/>
      <c r="H428" s="22"/>
      <c r="I428" s="22"/>
      <c r="J428" s="22"/>
    </row>
    <row r="429">
      <c r="C429" s="22"/>
      <c r="D429" s="22"/>
      <c r="E429" s="22"/>
      <c r="F429" s="22"/>
      <c r="G429" s="22"/>
      <c r="H429" s="22"/>
      <c r="I429" s="22"/>
      <c r="J429" s="22"/>
    </row>
    <row r="430">
      <c r="C430" s="22"/>
      <c r="D430" s="22"/>
      <c r="E430" s="22"/>
      <c r="F430" s="22"/>
      <c r="G430" s="22"/>
      <c r="H430" s="22"/>
      <c r="I430" s="22"/>
      <c r="J430" s="22"/>
    </row>
    <row r="431">
      <c r="C431" s="22"/>
      <c r="D431" s="22"/>
      <c r="E431" s="22"/>
      <c r="F431" s="22"/>
      <c r="G431" s="22"/>
      <c r="H431" s="22"/>
      <c r="I431" s="22"/>
      <c r="J431" s="22"/>
    </row>
    <row r="432">
      <c r="C432" s="22"/>
      <c r="D432" s="22"/>
      <c r="E432" s="22"/>
      <c r="F432" s="22"/>
      <c r="G432" s="22"/>
      <c r="H432" s="22"/>
      <c r="I432" s="22"/>
      <c r="J432" s="22"/>
    </row>
    <row r="433">
      <c r="C433" s="22"/>
      <c r="D433" s="22"/>
      <c r="E433" s="22"/>
      <c r="F433" s="22"/>
      <c r="G433" s="22"/>
      <c r="H433" s="22"/>
      <c r="I433" s="22"/>
      <c r="J433" s="22"/>
    </row>
    <row r="434">
      <c r="C434" s="22"/>
      <c r="D434" s="22"/>
      <c r="E434" s="22"/>
      <c r="F434" s="22"/>
      <c r="G434" s="22"/>
      <c r="H434" s="22"/>
      <c r="I434" s="22"/>
      <c r="J434" s="22"/>
    </row>
    <row r="435">
      <c r="C435" s="22"/>
      <c r="D435" s="22"/>
      <c r="E435" s="22"/>
      <c r="F435" s="22"/>
      <c r="G435" s="22"/>
      <c r="H435" s="22"/>
      <c r="I435" s="22"/>
      <c r="J435" s="22"/>
    </row>
    <row r="436">
      <c r="C436" s="22"/>
      <c r="D436" s="22"/>
      <c r="E436" s="22"/>
      <c r="F436" s="22"/>
      <c r="G436" s="22"/>
      <c r="H436" s="22"/>
      <c r="I436" s="22"/>
      <c r="J436" s="22"/>
    </row>
    <row r="437">
      <c r="C437" s="22"/>
      <c r="D437" s="22"/>
      <c r="E437" s="22"/>
      <c r="F437" s="22"/>
      <c r="G437" s="22"/>
      <c r="H437" s="22"/>
      <c r="I437" s="22"/>
      <c r="J437" s="22"/>
    </row>
    <row r="438">
      <c r="C438" s="22"/>
      <c r="D438" s="22"/>
      <c r="E438" s="22"/>
      <c r="F438" s="22"/>
      <c r="G438" s="22"/>
      <c r="H438" s="22"/>
      <c r="I438" s="22"/>
      <c r="J438" s="22"/>
    </row>
    <row r="439">
      <c r="C439" s="22"/>
      <c r="D439" s="22"/>
      <c r="E439" s="22"/>
      <c r="F439" s="22"/>
      <c r="G439" s="22"/>
      <c r="H439" s="22"/>
      <c r="I439" s="22"/>
      <c r="J439" s="22"/>
    </row>
    <row r="440">
      <c r="C440" s="22"/>
      <c r="D440" s="22"/>
      <c r="E440" s="22"/>
      <c r="F440" s="22"/>
      <c r="G440" s="22"/>
      <c r="H440" s="22"/>
      <c r="I440" s="22"/>
      <c r="J440" s="22"/>
    </row>
    <row r="441">
      <c r="C441" s="22"/>
      <c r="D441" s="22"/>
      <c r="E441" s="22"/>
      <c r="F441" s="22"/>
      <c r="G441" s="22"/>
      <c r="H441" s="22"/>
      <c r="I441" s="22"/>
      <c r="J441" s="22"/>
    </row>
    <row r="442">
      <c r="C442" s="22"/>
      <c r="D442" s="22"/>
      <c r="E442" s="22"/>
      <c r="F442" s="22"/>
      <c r="G442" s="22"/>
      <c r="H442" s="22"/>
      <c r="I442" s="22"/>
      <c r="J442" s="22"/>
    </row>
    <row r="443">
      <c r="C443" s="22"/>
      <c r="D443" s="22"/>
      <c r="E443" s="22"/>
      <c r="F443" s="22"/>
      <c r="G443" s="22"/>
      <c r="H443" s="22"/>
      <c r="I443" s="22"/>
      <c r="J443" s="22"/>
    </row>
    <row r="444">
      <c r="C444" s="22"/>
      <c r="D444" s="22"/>
      <c r="E444" s="22"/>
      <c r="F444" s="22"/>
      <c r="G444" s="22"/>
      <c r="H444" s="22"/>
      <c r="I444" s="22"/>
      <c r="J444" s="22"/>
    </row>
    <row r="445">
      <c r="C445" s="22"/>
      <c r="D445" s="22"/>
      <c r="E445" s="22"/>
      <c r="F445" s="22"/>
      <c r="G445" s="22"/>
      <c r="H445" s="22"/>
      <c r="I445" s="22"/>
      <c r="J445" s="22"/>
    </row>
    <row r="446">
      <c r="C446" s="22"/>
      <c r="D446" s="22"/>
      <c r="E446" s="22"/>
      <c r="F446" s="22"/>
      <c r="G446" s="22"/>
      <c r="H446" s="22"/>
      <c r="I446" s="22"/>
      <c r="J446" s="22"/>
    </row>
    <row r="447">
      <c r="C447" s="22"/>
      <c r="D447" s="22"/>
      <c r="E447" s="22"/>
      <c r="F447" s="22"/>
      <c r="G447" s="22"/>
      <c r="H447" s="22"/>
      <c r="I447" s="22"/>
      <c r="J447" s="22"/>
    </row>
    <row r="448">
      <c r="C448" s="22"/>
      <c r="D448" s="22"/>
      <c r="E448" s="22"/>
      <c r="F448" s="22"/>
      <c r="G448" s="22"/>
      <c r="H448" s="22"/>
      <c r="I448" s="22"/>
      <c r="J448" s="22"/>
    </row>
    <row r="449">
      <c r="C449" s="22"/>
      <c r="D449" s="22"/>
      <c r="E449" s="22"/>
      <c r="F449" s="22"/>
      <c r="G449" s="22"/>
      <c r="H449" s="22"/>
      <c r="I449" s="22"/>
      <c r="J449" s="22"/>
    </row>
    <row r="450">
      <c r="C450" s="22"/>
      <c r="D450" s="22"/>
      <c r="E450" s="22"/>
      <c r="F450" s="22"/>
      <c r="G450" s="22"/>
      <c r="H450" s="22"/>
      <c r="I450" s="22"/>
      <c r="J450" s="22"/>
    </row>
    <row r="451">
      <c r="C451" s="22"/>
      <c r="D451" s="22"/>
      <c r="E451" s="22"/>
      <c r="F451" s="22"/>
      <c r="G451" s="22"/>
      <c r="H451" s="22"/>
      <c r="I451" s="22"/>
      <c r="J451" s="22"/>
    </row>
    <row r="452">
      <c r="C452" s="22"/>
      <c r="D452" s="22"/>
      <c r="E452" s="22"/>
      <c r="F452" s="22"/>
      <c r="G452" s="22"/>
      <c r="H452" s="22"/>
      <c r="I452" s="22"/>
      <c r="J452" s="22"/>
    </row>
    <row r="453">
      <c r="C453" s="22"/>
      <c r="D453" s="22"/>
      <c r="E453" s="22"/>
      <c r="F453" s="22"/>
      <c r="G453" s="22"/>
      <c r="H453" s="22"/>
      <c r="I453" s="22"/>
      <c r="J453" s="22"/>
    </row>
    <row r="454">
      <c r="C454" s="22"/>
      <c r="D454" s="22"/>
      <c r="E454" s="22"/>
      <c r="F454" s="22"/>
      <c r="G454" s="22"/>
      <c r="H454" s="22"/>
      <c r="I454" s="22"/>
      <c r="J454" s="22"/>
    </row>
    <row r="455">
      <c r="C455" s="22"/>
      <c r="D455" s="22"/>
      <c r="E455" s="22"/>
      <c r="F455" s="22"/>
      <c r="G455" s="22"/>
      <c r="H455" s="22"/>
      <c r="I455" s="22"/>
      <c r="J455" s="22"/>
    </row>
    <row r="456">
      <c r="C456" s="22"/>
      <c r="D456" s="22"/>
      <c r="E456" s="22"/>
      <c r="F456" s="22"/>
      <c r="G456" s="22"/>
      <c r="H456" s="22"/>
      <c r="I456" s="22"/>
      <c r="J456" s="22"/>
    </row>
    <row r="457">
      <c r="C457" s="22"/>
      <c r="D457" s="22"/>
      <c r="E457" s="22"/>
      <c r="F457" s="22"/>
      <c r="G457" s="22"/>
      <c r="H457" s="22"/>
      <c r="I457" s="22"/>
      <c r="J457" s="22"/>
    </row>
    <row r="458">
      <c r="C458" s="22"/>
      <c r="D458" s="22"/>
      <c r="E458" s="22"/>
      <c r="F458" s="22"/>
      <c r="G458" s="22"/>
      <c r="H458" s="22"/>
      <c r="I458" s="22"/>
      <c r="J458" s="22"/>
    </row>
    <row r="459">
      <c r="C459" s="22"/>
      <c r="D459" s="22"/>
      <c r="E459" s="22"/>
      <c r="F459" s="22"/>
      <c r="G459" s="22"/>
      <c r="H459" s="22"/>
      <c r="I459" s="22"/>
      <c r="J459" s="22"/>
    </row>
    <row r="460">
      <c r="C460" s="22"/>
      <c r="D460" s="22"/>
      <c r="E460" s="22"/>
      <c r="F460" s="22"/>
      <c r="G460" s="22"/>
      <c r="H460" s="22"/>
      <c r="I460" s="22"/>
      <c r="J460" s="22"/>
    </row>
    <row r="461">
      <c r="C461" s="22"/>
      <c r="D461" s="22"/>
      <c r="E461" s="22"/>
      <c r="F461" s="22"/>
      <c r="G461" s="22"/>
      <c r="H461" s="22"/>
      <c r="I461" s="22"/>
      <c r="J461" s="22"/>
    </row>
    <row r="462">
      <c r="C462" s="22"/>
      <c r="D462" s="22"/>
      <c r="E462" s="22"/>
      <c r="F462" s="22"/>
      <c r="G462" s="22"/>
      <c r="H462" s="22"/>
      <c r="I462" s="22"/>
      <c r="J462" s="22"/>
    </row>
    <row r="463">
      <c r="C463" s="22"/>
      <c r="D463" s="22"/>
      <c r="E463" s="22"/>
      <c r="F463" s="22"/>
      <c r="G463" s="22"/>
      <c r="H463" s="22"/>
      <c r="I463" s="22"/>
      <c r="J463" s="22"/>
    </row>
    <row r="464">
      <c r="C464" s="22"/>
      <c r="D464" s="22"/>
      <c r="E464" s="22"/>
      <c r="F464" s="22"/>
      <c r="G464" s="22"/>
      <c r="H464" s="22"/>
      <c r="I464" s="22"/>
      <c r="J464" s="22"/>
    </row>
    <row r="465">
      <c r="C465" s="22"/>
      <c r="D465" s="22"/>
      <c r="E465" s="22"/>
      <c r="F465" s="22"/>
      <c r="G465" s="22"/>
      <c r="H465" s="22"/>
      <c r="I465" s="22"/>
      <c r="J465" s="22"/>
    </row>
    <row r="466">
      <c r="C466" s="22"/>
      <c r="D466" s="22"/>
      <c r="E466" s="22"/>
      <c r="F466" s="22"/>
      <c r="G466" s="22"/>
      <c r="H466" s="22"/>
      <c r="I466" s="22"/>
      <c r="J466" s="22"/>
    </row>
    <row r="467">
      <c r="C467" s="22"/>
      <c r="D467" s="22"/>
      <c r="E467" s="22"/>
      <c r="F467" s="22"/>
      <c r="G467" s="22"/>
      <c r="H467" s="22"/>
      <c r="I467" s="22"/>
      <c r="J467" s="22"/>
    </row>
    <row r="468">
      <c r="C468" s="22"/>
      <c r="D468" s="22"/>
      <c r="E468" s="22"/>
      <c r="F468" s="22"/>
      <c r="G468" s="22"/>
      <c r="H468" s="22"/>
      <c r="I468" s="22"/>
      <c r="J468" s="22"/>
    </row>
    <row r="469">
      <c r="C469" s="22"/>
      <c r="D469" s="22"/>
      <c r="E469" s="22"/>
      <c r="F469" s="22"/>
      <c r="G469" s="22"/>
      <c r="H469" s="22"/>
      <c r="I469" s="22"/>
      <c r="J469" s="22"/>
    </row>
    <row r="470">
      <c r="C470" s="22"/>
      <c r="D470" s="22"/>
      <c r="E470" s="22"/>
      <c r="F470" s="22"/>
      <c r="G470" s="22"/>
      <c r="H470" s="22"/>
      <c r="I470" s="22"/>
      <c r="J470" s="22"/>
    </row>
    <row r="471">
      <c r="C471" s="22"/>
      <c r="D471" s="22"/>
      <c r="E471" s="22"/>
      <c r="F471" s="22"/>
      <c r="G471" s="22"/>
      <c r="H471" s="22"/>
      <c r="I471" s="22"/>
      <c r="J471" s="22"/>
    </row>
    <row r="472">
      <c r="C472" s="22"/>
      <c r="D472" s="22"/>
      <c r="E472" s="22"/>
      <c r="F472" s="22"/>
      <c r="G472" s="22"/>
      <c r="H472" s="22"/>
      <c r="I472" s="22"/>
      <c r="J472" s="22"/>
    </row>
    <row r="473">
      <c r="C473" s="22"/>
      <c r="D473" s="22"/>
      <c r="E473" s="22"/>
      <c r="F473" s="22"/>
      <c r="G473" s="22"/>
      <c r="H473" s="22"/>
      <c r="I473" s="22"/>
      <c r="J473" s="22"/>
    </row>
    <row r="474">
      <c r="C474" s="22"/>
      <c r="D474" s="22"/>
      <c r="E474" s="22"/>
      <c r="F474" s="22"/>
      <c r="G474" s="22"/>
      <c r="H474" s="22"/>
      <c r="I474" s="22"/>
      <c r="J474" s="22"/>
    </row>
    <row r="475">
      <c r="C475" s="22"/>
      <c r="D475" s="22"/>
      <c r="E475" s="22"/>
      <c r="F475" s="22"/>
      <c r="G475" s="22"/>
      <c r="H475" s="22"/>
      <c r="I475" s="22"/>
      <c r="J475" s="22"/>
    </row>
    <row r="476">
      <c r="C476" s="22"/>
      <c r="D476" s="22"/>
      <c r="E476" s="22"/>
      <c r="F476" s="22"/>
      <c r="G476" s="22"/>
      <c r="H476" s="22"/>
      <c r="I476" s="22"/>
      <c r="J476" s="22"/>
    </row>
    <row r="477">
      <c r="C477" s="22"/>
      <c r="D477" s="22"/>
      <c r="E477" s="22"/>
      <c r="F477" s="22"/>
      <c r="G477" s="22"/>
      <c r="H477" s="22"/>
      <c r="I477" s="22"/>
      <c r="J477" s="22"/>
    </row>
    <row r="478">
      <c r="C478" s="22"/>
      <c r="D478" s="22"/>
      <c r="E478" s="22"/>
      <c r="F478" s="22"/>
      <c r="G478" s="22"/>
      <c r="H478" s="22"/>
      <c r="I478" s="22"/>
      <c r="J478" s="22"/>
    </row>
    <row r="479">
      <c r="C479" s="22"/>
      <c r="D479" s="22"/>
      <c r="E479" s="22"/>
      <c r="F479" s="22"/>
      <c r="G479" s="22"/>
      <c r="H479" s="22"/>
      <c r="I479" s="22"/>
      <c r="J479" s="22"/>
    </row>
    <row r="480">
      <c r="C480" s="22"/>
      <c r="D480" s="22"/>
      <c r="E480" s="22"/>
      <c r="F480" s="22"/>
      <c r="G480" s="22"/>
      <c r="H480" s="22"/>
      <c r="I480" s="22"/>
      <c r="J480" s="22"/>
    </row>
    <row r="481">
      <c r="C481" s="22"/>
      <c r="D481" s="22"/>
      <c r="E481" s="22"/>
      <c r="F481" s="22"/>
      <c r="G481" s="22"/>
      <c r="H481" s="22"/>
      <c r="I481" s="22"/>
      <c r="J481" s="22"/>
    </row>
    <row r="482">
      <c r="C482" s="22"/>
      <c r="D482" s="22"/>
      <c r="E482" s="22"/>
      <c r="F482" s="22"/>
      <c r="G482" s="22"/>
      <c r="H482" s="22"/>
      <c r="I482" s="22"/>
      <c r="J482" s="22"/>
    </row>
    <row r="483">
      <c r="C483" s="22"/>
      <c r="D483" s="22"/>
      <c r="E483" s="22"/>
      <c r="F483" s="22"/>
      <c r="G483" s="22"/>
      <c r="H483" s="22"/>
      <c r="I483" s="22"/>
      <c r="J483" s="22"/>
    </row>
    <row r="484">
      <c r="C484" s="22"/>
      <c r="D484" s="22"/>
      <c r="E484" s="22"/>
      <c r="F484" s="22"/>
      <c r="G484" s="22"/>
      <c r="H484" s="22"/>
      <c r="I484" s="22"/>
      <c r="J484" s="22"/>
    </row>
    <row r="485">
      <c r="C485" s="22"/>
      <c r="D485" s="22"/>
      <c r="E485" s="22"/>
      <c r="F485" s="22"/>
      <c r="G485" s="22"/>
      <c r="H485" s="22"/>
      <c r="I485" s="22"/>
      <c r="J485" s="22"/>
    </row>
    <row r="486">
      <c r="C486" s="22"/>
      <c r="D486" s="22"/>
      <c r="E486" s="22"/>
      <c r="F486" s="22"/>
      <c r="G486" s="22"/>
      <c r="H486" s="22"/>
      <c r="I486" s="22"/>
      <c r="J486" s="22"/>
    </row>
    <row r="487">
      <c r="C487" s="22"/>
      <c r="D487" s="22"/>
      <c r="E487" s="22"/>
      <c r="F487" s="22"/>
      <c r="G487" s="22"/>
      <c r="H487" s="22"/>
      <c r="I487" s="22"/>
      <c r="J487" s="22"/>
    </row>
    <row r="488">
      <c r="C488" s="22"/>
      <c r="D488" s="22"/>
      <c r="E488" s="22"/>
      <c r="F488" s="22"/>
      <c r="G488" s="22"/>
      <c r="H488" s="22"/>
      <c r="I488" s="22"/>
      <c r="J488" s="22"/>
    </row>
    <row r="489">
      <c r="C489" s="22"/>
      <c r="D489" s="22"/>
      <c r="E489" s="22"/>
      <c r="F489" s="22"/>
      <c r="G489" s="22"/>
      <c r="H489" s="22"/>
      <c r="I489" s="22"/>
      <c r="J489" s="22"/>
    </row>
    <row r="490">
      <c r="C490" s="22"/>
      <c r="D490" s="22"/>
      <c r="E490" s="22"/>
      <c r="F490" s="22"/>
      <c r="G490" s="22"/>
      <c r="H490" s="22"/>
      <c r="I490" s="22"/>
      <c r="J490" s="22"/>
    </row>
    <row r="491">
      <c r="C491" s="22"/>
      <c r="D491" s="22"/>
      <c r="E491" s="22"/>
      <c r="F491" s="22"/>
      <c r="G491" s="22"/>
      <c r="H491" s="22"/>
      <c r="I491" s="22"/>
      <c r="J491" s="22"/>
    </row>
    <row r="492">
      <c r="C492" s="22"/>
      <c r="D492" s="22"/>
      <c r="E492" s="22"/>
      <c r="F492" s="22"/>
      <c r="G492" s="22"/>
      <c r="H492" s="22"/>
      <c r="I492" s="22"/>
      <c r="J492" s="22"/>
    </row>
    <row r="493">
      <c r="C493" s="22"/>
      <c r="D493" s="22"/>
      <c r="E493" s="22"/>
      <c r="F493" s="22"/>
      <c r="G493" s="22"/>
      <c r="H493" s="22"/>
      <c r="I493" s="22"/>
      <c r="J493" s="22"/>
    </row>
    <row r="494">
      <c r="C494" s="22"/>
      <c r="D494" s="22"/>
      <c r="E494" s="22"/>
      <c r="F494" s="22"/>
      <c r="G494" s="22"/>
      <c r="H494" s="22"/>
      <c r="I494" s="22"/>
      <c r="J494" s="22"/>
    </row>
    <row r="495">
      <c r="C495" s="22"/>
      <c r="D495" s="22"/>
      <c r="E495" s="22"/>
      <c r="F495" s="22"/>
      <c r="G495" s="22"/>
      <c r="H495" s="22"/>
      <c r="I495" s="22"/>
      <c r="J495" s="22"/>
    </row>
    <row r="496">
      <c r="C496" s="22"/>
      <c r="D496" s="22"/>
      <c r="E496" s="22"/>
      <c r="F496" s="22"/>
      <c r="G496" s="22"/>
      <c r="H496" s="22"/>
      <c r="I496" s="22"/>
      <c r="J496" s="22"/>
    </row>
    <row r="497">
      <c r="C497" s="22"/>
      <c r="D497" s="22"/>
      <c r="E497" s="22"/>
      <c r="F497" s="22"/>
      <c r="G497" s="22"/>
      <c r="H497" s="22"/>
      <c r="I497" s="22"/>
      <c r="J497" s="22"/>
    </row>
    <row r="498">
      <c r="C498" s="22"/>
      <c r="D498" s="22"/>
      <c r="E498" s="22"/>
      <c r="F498" s="22"/>
      <c r="G498" s="22"/>
      <c r="H498" s="22"/>
      <c r="I498" s="22"/>
      <c r="J498" s="22"/>
    </row>
    <row r="499">
      <c r="C499" s="22"/>
      <c r="D499" s="22"/>
      <c r="E499" s="22"/>
      <c r="F499" s="22"/>
      <c r="G499" s="22"/>
      <c r="H499" s="22"/>
      <c r="I499" s="22"/>
      <c r="J499" s="22"/>
    </row>
    <row r="500">
      <c r="C500" s="22"/>
      <c r="D500" s="22"/>
      <c r="E500" s="22"/>
      <c r="F500" s="22"/>
      <c r="G500" s="22"/>
      <c r="H500" s="22"/>
      <c r="I500" s="22"/>
      <c r="J500" s="22"/>
    </row>
    <row r="501">
      <c r="C501" s="22"/>
      <c r="D501" s="22"/>
      <c r="E501" s="22"/>
      <c r="F501" s="22"/>
      <c r="G501" s="22"/>
      <c r="H501" s="22"/>
      <c r="I501" s="22"/>
      <c r="J501" s="22"/>
    </row>
    <row r="502">
      <c r="C502" s="22"/>
      <c r="D502" s="22"/>
      <c r="E502" s="22"/>
      <c r="F502" s="22"/>
      <c r="G502" s="22"/>
      <c r="H502" s="22"/>
      <c r="I502" s="22"/>
      <c r="J502" s="22"/>
    </row>
    <row r="503">
      <c r="C503" s="22"/>
      <c r="D503" s="22"/>
      <c r="E503" s="22"/>
      <c r="F503" s="22"/>
      <c r="G503" s="22"/>
      <c r="H503" s="22"/>
      <c r="I503" s="22"/>
      <c r="J503" s="22"/>
    </row>
    <row r="504">
      <c r="C504" s="22"/>
      <c r="D504" s="22"/>
      <c r="E504" s="22"/>
      <c r="F504" s="22"/>
      <c r="G504" s="22"/>
      <c r="H504" s="22"/>
      <c r="I504" s="22"/>
      <c r="J504" s="22"/>
    </row>
    <row r="505">
      <c r="C505" s="22"/>
      <c r="D505" s="22"/>
      <c r="E505" s="22"/>
      <c r="F505" s="22"/>
      <c r="G505" s="22"/>
      <c r="H505" s="22"/>
      <c r="I505" s="22"/>
      <c r="J505" s="22"/>
    </row>
    <row r="506">
      <c r="C506" s="22"/>
      <c r="D506" s="22"/>
      <c r="E506" s="22"/>
      <c r="F506" s="22"/>
      <c r="G506" s="22"/>
      <c r="H506" s="22"/>
      <c r="I506" s="22"/>
      <c r="J506" s="22"/>
    </row>
    <row r="507">
      <c r="C507" s="22"/>
      <c r="D507" s="22"/>
      <c r="E507" s="22"/>
      <c r="F507" s="22"/>
      <c r="G507" s="22"/>
      <c r="H507" s="22"/>
      <c r="I507" s="22"/>
      <c r="J507" s="22"/>
    </row>
    <row r="508">
      <c r="C508" s="22"/>
      <c r="D508" s="22"/>
      <c r="E508" s="22"/>
      <c r="F508" s="22"/>
      <c r="G508" s="22"/>
      <c r="H508" s="22"/>
      <c r="I508" s="22"/>
      <c r="J508" s="22"/>
    </row>
    <row r="509">
      <c r="C509" s="22"/>
      <c r="D509" s="22"/>
      <c r="E509" s="22"/>
      <c r="F509" s="22"/>
      <c r="G509" s="22"/>
      <c r="H509" s="22"/>
      <c r="I509" s="22"/>
      <c r="J509" s="22"/>
    </row>
    <row r="510">
      <c r="C510" s="22"/>
      <c r="D510" s="22"/>
      <c r="E510" s="22"/>
      <c r="F510" s="22"/>
      <c r="G510" s="22"/>
      <c r="H510" s="22"/>
      <c r="I510" s="22"/>
      <c r="J510" s="22"/>
    </row>
    <row r="511">
      <c r="C511" s="22"/>
      <c r="D511" s="22"/>
      <c r="E511" s="22"/>
      <c r="F511" s="22"/>
      <c r="G511" s="22"/>
      <c r="H511" s="22"/>
      <c r="I511" s="22"/>
      <c r="J511" s="22"/>
    </row>
    <row r="512">
      <c r="C512" s="22"/>
      <c r="D512" s="22"/>
      <c r="E512" s="22"/>
      <c r="F512" s="22"/>
      <c r="G512" s="22"/>
      <c r="H512" s="22"/>
      <c r="I512" s="22"/>
      <c r="J512" s="22"/>
    </row>
    <row r="513">
      <c r="C513" s="22"/>
      <c r="D513" s="22"/>
      <c r="E513" s="22"/>
      <c r="F513" s="22"/>
      <c r="G513" s="22"/>
      <c r="H513" s="22"/>
      <c r="I513" s="22"/>
      <c r="J513" s="22"/>
    </row>
    <row r="514">
      <c r="C514" s="22"/>
      <c r="D514" s="22"/>
      <c r="E514" s="22"/>
      <c r="F514" s="22"/>
      <c r="G514" s="22"/>
      <c r="H514" s="22"/>
      <c r="I514" s="22"/>
      <c r="J514" s="22"/>
    </row>
    <row r="515">
      <c r="C515" s="22"/>
      <c r="D515" s="22"/>
      <c r="E515" s="22"/>
      <c r="F515" s="22"/>
      <c r="G515" s="22"/>
      <c r="H515" s="22"/>
      <c r="I515" s="22"/>
      <c r="J515" s="22"/>
    </row>
    <row r="516">
      <c r="C516" s="22"/>
      <c r="D516" s="22"/>
      <c r="E516" s="22"/>
      <c r="F516" s="22"/>
      <c r="G516" s="22"/>
      <c r="H516" s="22"/>
      <c r="I516" s="22"/>
      <c r="J516" s="22"/>
    </row>
    <row r="517">
      <c r="C517" s="22"/>
      <c r="D517" s="22"/>
      <c r="E517" s="22"/>
      <c r="F517" s="22"/>
      <c r="G517" s="22"/>
      <c r="H517" s="22"/>
      <c r="I517" s="22"/>
      <c r="J517" s="22"/>
    </row>
    <row r="518">
      <c r="C518" s="22"/>
      <c r="D518" s="22"/>
      <c r="E518" s="22"/>
      <c r="F518" s="22"/>
      <c r="G518" s="22"/>
      <c r="H518" s="22"/>
      <c r="I518" s="22"/>
      <c r="J518" s="22"/>
    </row>
    <row r="519">
      <c r="C519" s="22"/>
      <c r="D519" s="22"/>
      <c r="E519" s="22"/>
      <c r="F519" s="22"/>
      <c r="G519" s="22"/>
      <c r="H519" s="22"/>
      <c r="I519" s="22"/>
      <c r="J519" s="22"/>
    </row>
    <row r="520">
      <c r="C520" s="22"/>
      <c r="D520" s="22"/>
      <c r="E520" s="22"/>
      <c r="F520" s="22"/>
      <c r="G520" s="22"/>
      <c r="H520" s="22"/>
      <c r="I520" s="22"/>
      <c r="J520" s="22"/>
    </row>
    <row r="521">
      <c r="C521" s="22"/>
      <c r="D521" s="22"/>
      <c r="E521" s="22"/>
      <c r="F521" s="22"/>
      <c r="G521" s="22"/>
      <c r="H521" s="22"/>
      <c r="I521" s="22"/>
      <c r="J521" s="22"/>
    </row>
    <row r="522">
      <c r="C522" s="22"/>
      <c r="D522" s="22"/>
      <c r="E522" s="22"/>
      <c r="F522" s="22"/>
      <c r="G522" s="22"/>
      <c r="H522" s="22"/>
      <c r="I522" s="22"/>
      <c r="J522" s="22"/>
    </row>
    <row r="523">
      <c r="C523" s="22"/>
      <c r="D523" s="22"/>
      <c r="E523" s="22"/>
      <c r="F523" s="22"/>
      <c r="G523" s="22"/>
      <c r="H523" s="22"/>
      <c r="I523" s="22"/>
      <c r="J523" s="22"/>
    </row>
    <row r="524">
      <c r="C524" s="22"/>
      <c r="D524" s="22"/>
      <c r="E524" s="22"/>
      <c r="F524" s="22"/>
      <c r="G524" s="22"/>
      <c r="H524" s="22"/>
      <c r="I524" s="22"/>
      <c r="J524" s="22"/>
    </row>
    <row r="525">
      <c r="C525" s="22"/>
      <c r="D525" s="22"/>
      <c r="E525" s="22"/>
      <c r="F525" s="22"/>
      <c r="G525" s="22"/>
      <c r="H525" s="22"/>
      <c r="I525" s="22"/>
      <c r="J525" s="22"/>
    </row>
    <row r="526">
      <c r="C526" s="22"/>
      <c r="D526" s="22"/>
      <c r="E526" s="22"/>
      <c r="F526" s="22"/>
      <c r="G526" s="22"/>
      <c r="H526" s="22"/>
      <c r="I526" s="22"/>
      <c r="J526" s="22"/>
    </row>
    <row r="527">
      <c r="C527" s="22"/>
      <c r="D527" s="22"/>
      <c r="E527" s="22"/>
      <c r="F527" s="22"/>
      <c r="G527" s="22"/>
      <c r="H527" s="22"/>
      <c r="I527" s="22"/>
      <c r="J527" s="22"/>
    </row>
    <row r="528">
      <c r="C528" s="22"/>
      <c r="D528" s="22"/>
      <c r="E528" s="22"/>
      <c r="F528" s="22"/>
      <c r="G528" s="22"/>
      <c r="H528" s="22"/>
      <c r="I528" s="22"/>
      <c r="J528" s="22"/>
    </row>
    <row r="529">
      <c r="C529" s="22"/>
      <c r="D529" s="22"/>
      <c r="E529" s="22"/>
      <c r="F529" s="22"/>
      <c r="G529" s="22"/>
      <c r="H529" s="22"/>
      <c r="I529" s="22"/>
      <c r="J529" s="22"/>
    </row>
    <row r="530">
      <c r="C530" s="22"/>
      <c r="D530" s="22"/>
      <c r="E530" s="22"/>
      <c r="F530" s="22"/>
      <c r="G530" s="22"/>
      <c r="H530" s="22"/>
      <c r="I530" s="22"/>
      <c r="J530" s="22"/>
    </row>
    <row r="531">
      <c r="C531" s="22"/>
      <c r="D531" s="22"/>
      <c r="E531" s="22"/>
      <c r="F531" s="22"/>
      <c r="G531" s="22"/>
      <c r="H531" s="22"/>
      <c r="I531" s="22"/>
      <c r="J531" s="22"/>
    </row>
    <row r="532">
      <c r="C532" s="22"/>
      <c r="D532" s="22"/>
      <c r="E532" s="22"/>
      <c r="F532" s="22"/>
      <c r="G532" s="22"/>
      <c r="H532" s="22"/>
      <c r="I532" s="22"/>
      <c r="J532" s="22"/>
    </row>
    <row r="533">
      <c r="C533" s="22"/>
      <c r="D533" s="22"/>
      <c r="E533" s="22"/>
      <c r="F533" s="22"/>
      <c r="G533" s="22"/>
      <c r="H533" s="22"/>
      <c r="I533" s="22"/>
      <c r="J533" s="22"/>
    </row>
    <row r="534">
      <c r="C534" s="22"/>
      <c r="D534" s="22"/>
      <c r="E534" s="22"/>
      <c r="F534" s="22"/>
      <c r="G534" s="22"/>
      <c r="H534" s="22"/>
      <c r="I534" s="22"/>
      <c r="J534" s="22"/>
    </row>
    <row r="535">
      <c r="C535" s="22"/>
      <c r="D535" s="22"/>
      <c r="E535" s="22"/>
      <c r="F535" s="22"/>
      <c r="G535" s="22"/>
      <c r="H535" s="22"/>
      <c r="I535" s="22"/>
      <c r="J535" s="22"/>
    </row>
    <row r="536">
      <c r="C536" s="22"/>
      <c r="D536" s="22"/>
      <c r="E536" s="22"/>
      <c r="F536" s="22"/>
      <c r="G536" s="22"/>
      <c r="H536" s="22"/>
      <c r="I536" s="22"/>
      <c r="J536" s="22"/>
    </row>
    <row r="537">
      <c r="C537" s="22"/>
      <c r="D537" s="22"/>
      <c r="E537" s="22"/>
      <c r="F537" s="22"/>
      <c r="G537" s="22"/>
      <c r="H537" s="22"/>
      <c r="I537" s="22"/>
      <c r="J537" s="22"/>
    </row>
    <row r="538">
      <c r="C538" s="22"/>
      <c r="D538" s="22"/>
      <c r="E538" s="22"/>
      <c r="F538" s="22"/>
      <c r="G538" s="22"/>
      <c r="H538" s="22"/>
      <c r="I538" s="22"/>
      <c r="J538" s="22"/>
    </row>
    <row r="539">
      <c r="C539" s="22"/>
      <c r="D539" s="22"/>
      <c r="E539" s="22"/>
      <c r="F539" s="22"/>
      <c r="G539" s="22"/>
      <c r="H539" s="22"/>
      <c r="I539" s="22"/>
      <c r="J539" s="22"/>
    </row>
    <row r="540">
      <c r="C540" s="22"/>
      <c r="D540" s="22"/>
      <c r="E540" s="22"/>
      <c r="F540" s="22"/>
      <c r="G540" s="22"/>
      <c r="H540" s="22"/>
      <c r="I540" s="22"/>
      <c r="J540" s="22"/>
    </row>
    <row r="541">
      <c r="C541" s="22"/>
      <c r="D541" s="22"/>
      <c r="E541" s="22"/>
      <c r="F541" s="22"/>
      <c r="G541" s="22"/>
      <c r="H541" s="22"/>
      <c r="I541" s="22"/>
      <c r="J541" s="22"/>
    </row>
    <row r="542">
      <c r="C542" s="22"/>
      <c r="D542" s="22"/>
      <c r="E542" s="22"/>
      <c r="F542" s="22"/>
      <c r="G542" s="22"/>
      <c r="H542" s="22"/>
      <c r="I542" s="22"/>
      <c r="J542" s="22"/>
    </row>
    <row r="543">
      <c r="C543" s="22"/>
      <c r="D543" s="22"/>
      <c r="E543" s="22"/>
      <c r="F543" s="22"/>
      <c r="G543" s="22"/>
      <c r="H543" s="22"/>
      <c r="I543" s="22"/>
      <c r="J543" s="22"/>
    </row>
    <row r="544">
      <c r="C544" s="22"/>
      <c r="D544" s="22"/>
      <c r="E544" s="22"/>
      <c r="F544" s="22"/>
      <c r="G544" s="22"/>
      <c r="H544" s="22"/>
      <c r="I544" s="22"/>
      <c r="J544" s="22"/>
    </row>
    <row r="545">
      <c r="C545" s="22"/>
      <c r="D545" s="22"/>
      <c r="E545" s="22"/>
      <c r="F545" s="22"/>
      <c r="G545" s="22"/>
      <c r="H545" s="22"/>
      <c r="I545" s="22"/>
      <c r="J545" s="22"/>
    </row>
    <row r="546">
      <c r="C546" s="22"/>
      <c r="D546" s="22"/>
      <c r="E546" s="22"/>
      <c r="F546" s="22"/>
      <c r="G546" s="22"/>
      <c r="H546" s="22"/>
      <c r="I546" s="22"/>
      <c r="J546" s="22"/>
    </row>
    <row r="547">
      <c r="C547" s="22"/>
      <c r="D547" s="22"/>
      <c r="E547" s="22"/>
      <c r="F547" s="22"/>
      <c r="G547" s="22"/>
      <c r="H547" s="22"/>
      <c r="I547" s="22"/>
      <c r="J547" s="22"/>
    </row>
    <row r="548">
      <c r="C548" s="22"/>
      <c r="D548" s="22"/>
      <c r="E548" s="22"/>
      <c r="F548" s="22"/>
      <c r="G548" s="22"/>
      <c r="H548" s="22"/>
      <c r="I548" s="22"/>
      <c r="J548" s="22"/>
    </row>
    <row r="549">
      <c r="C549" s="22"/>
      <c r="D549" s="22"/>
      <c r="E549" s="22"/>
      <c r="F549" s="22"/>
      <c r="G549" s="22"/>
      <c r="H549" s="22"/>
      <c r="I549" s="22"/>
      <c r="J549" s="22"/>
    </row>
    <row r="550">
      <c r="C550" s="22"/>
      <c r="D550" s="22"/>
      <c r="E550" s="22"/>
      <c r="F550" s="22"/>
      <c r="G550" s="22"/>
      <c r="H550" s="22"/>
      <c r="I550" s="22"/>
      <c r="J550" s="22"/>
    </row>
    <row r="551">
      <c r="C551" s="22"/>
      <c r="D551" s="22"/>
      <c r="E551" s="22"/>
      <c r="F551" s="22"/>
      <c r="G551" s="22"/>
      <c r="H551" s="22"/>
      <c r="I551" s="22"/>
      <c r="J551" s="22"/>
    </row>
    <row r="552">
      <c r="C552" s="22"/>
      <c r="D552" s="22"/>
      <c r="E552" s="22"/>
      <c r="F552" s="22"/>
      <c r="G552" s="22"/>
      <c r="H552" s="22"/>
      <c r="I552" s="22"/>
      <c r="J552" s="22"/>
    </row>
    <row r="553">
      <c r="C553" s="22"/>
      <c r="D553" s="22"/>
      <c r="E553" s="22"/>
      <c r="F553" s="22"/>
      <c r="G553" s="22"/>
      <c r="H553" s="22"/>
      <c r="I553" s="22"/>
      <c r="J553" s="22"/>
    </row>
    <row r="554">
      <c r="C554" s="22"/>
      <c r="D554" s="22"/>
      <c r="E554" s="22"/>
      <c r="F554" s="22"/>
      <c r="G554" s="22"/>
      <c r="H554" s="22"/>
      <c r="I554" s="22"/>
      <c r="J554" s="22"/>
    </row>
    <row r="555">
      <c r="C555" s="22"/>
      <c r="D555" s="22"/>
      <c r="E555" s="22"/>
      <c r="F555" s="22"/>
      <c r="G555" s="22"/>
      <c r="H555" s="22"/>
      <c r="I555" s="22"/>
      <c r="J555" s="22"/>
    </row>
    <row r="556">
      <c r="C556" s="22"/>
      <c r="D556" s="22"/>
      <c r="E556" s="22"/>
      <c r="F556" s="22"/>
      <c r="G556" s="22"/>
      <c r="H556" s="22"/>
      <c r="I556" s="22"/>
      <c r="J556" s="22"/>
    </row>
    <row r="557">
      <c r="C557" s="22"/>
      <c r="D557" s="22"/>
      <c r="E557" s="22"/>
      <c r="F557" s="22"/>
      <c r="G557" s="22"/>
      <c r="H557" s="22"/>
      <c r="I557" s="22"/>
      <c r="J557" s="22"/>
    </row>
    <row r="558">
      <c r="C558" s="22"/>
      <c r="D558" s="22"/>
      <c r="E558" s="22"/>
      <c r="F558" s="22"/>
      <c r="G558" s="22"/>
      <c r="H558" s="22"/>
      <c r="I558" s="22"/>
      <c r="J558" s="22"/>
    </row>
    <row r="559">
      <c r="C559" s="22"/>
      <c r="D559" s="22"/>
      <c r="E559" s="22"/>
      <c r="F559" s="22"/>
      <c r="G559" s="22"/>
      <c r="H559" s="22"/>
      <c r="I559" s="22"/>
      <c r="J559" s="22"/>
    </row>
    <row r="560">
      <c r="C560" s="22"/>
      <c r="D560" s="22"/>
      <c r="E560" s="22"/>
      <c r="F560" s="22"/>
      <c r="G560" s="22"/>
      <c r="H560" s="22"/>
      <c r="I560" s="22"/>
      <c r="J560" s="22"/>
    </row>
    <row r="561">
      <c r="C561" s="22"/>
      <c r="D561" s="22"/>
      <c r="E561" s="22"/>
      <c r="F561" s="22"/>
      <c r="G561" s="22"/>
      <c r="H561" s="22"/>
      <c r="I561" s="22"/>
      <c r="J561" s="22"/>
    </row>
    <row r="562">
      <c r="C562" s="22"/>
      <c r="D562" s="22"/>
      <c r="E562" s="22"/>
      <c r="F562" s="22"/>
      <c r="G562" s="22"/>
      <c r="H562" s="22"/>
      <c r="I562" s="22"/>
      <c r="J562" s="22"/>
    </row>
    <row r="563">
      <c r="C563" s="22"/>
      <c r="D563" s="22"/>
      <c r="E563" s="22"/>
      <c r="F563" s="22"/>
      <c r="G563" s="22"/>
      <c r="H563" s="22"/>
      <c r="I563" s="22"/>
      <c r="J563" s="22"/>
    </row>
    <row r="564">
      <c r="C564" s="22"/>
      <c r="D564" s="22"/>
      <c r="E564" s="22"/>
      <c r="F564" s="22"/>
      <c r="G564" s="22"/>
      <c r="H564" s="22"/>
      <c r="I564" s="22"/>
      <c r="J564" s="22"/>
    </row>
    <row r="565">
      <c r="C565" s="22"/>
      <c r="D565" s="22"/>
      <c r="E565" s="22"/>
      <c r="F565" s="22"/>
      <c r="G565" s="22"/>
      <c r="H565" s="22"/>
      <c r="I565" s="22"/>
      <c r="J565" s="22"/>
    </row>
    <row r="566">
      <c r="C566" s="22"/>
      <c r="D566" s="22"/>
      <c r="E566" s="22"/>
      <c r="F566" s="22"/>
      <c r="G566" s="22"/>
      <c r="H566" s="22"/>
      <c r="I566" s="22"/>
      <c r="J566" s="22"/>
    </row>
    <row r="567">
      <c r="C567" s="22"/>
      <c r="D567" s="22"/>
      <c r="E567" s="22"/>
      <c r="F567" s="22"/>
      <c r="G567" s="22"/>
      <c r="H567" s="22"/>
      <c r="I567" s="22"/>
      <c r="J567" s="22"/>
    </row>
    <row r="568">
      <c r="C568" s="22"/>
      <c r="D568" s="22"/>
      <c r="E568" s="22"/>
      <c r="F568" s="22"/>
      <c r="G568" s="22"/>
      <c r="H568" s="22"/>
      <c r="I568" s="22"/>
      <c r="J568" s="22"/>
    </row>
    <row r="569">
      <c r="C569" s="22"/>
      <c r="D569" s="22"/>
      <c r="E569" s="22"/>
      <c r="F569" s="22"/>
      <c r="G569" s="22"/>
      <c r="H569" s="22"/>
      <c r="I569" s="22"/>
      <c r="J569" s="22"/>
    </row>
    <row r="570">
      <c r="C570" s="22"/>
      <c r="D570" s="22"/>
      <c r="E570" s="22"/>
      <c r="F570" s="22"/>
      <c r="G570" s="22"/>
      <c r="H570" s="22"/>
      <c r="I570" s="22"/>
      <c r="J570" s="22"/>
    </row>
    <row r="571">
      <c r="C571" s="22"/>
      <c r="D571" s="22"/>
      <c r="E571" s="22"/>
      <c r="F571" s="22"/>
      <c r="G571" s="22"/>
      <c r="H571" s="22"/>
      <c r="I571" s="22"/>
      <c r="J571" s="22"/>
    </row>
    <row r="572">
      <c r="C572" s="22"/>
      <c r="D572" s="22"/>
      <c r="E572" s="22"/>
      <c r="F572" s="22"/>
      <c r="G572" s="22"/>
      <c r="H572" s="22"/>
      <c r="I572" s="22"/>
      <c r="J572" s="22"/>
    </row>
    <row r="573">
      <c r="C573" s="22"/>
      <c r="D573" s="22"/>
      <c r="E573" s="22"/>
      <c r="F573" s="22"/>
      <c r="G573" s="22"/>
      <c r="H573" s="22"/>
      <c r="I573" s="22"/>
      <c r="J573" s="22"/>
    </row>
    <row r="574">
      <c r="C574" s="22"/>
      <c r="D574" s="22"/>
      <c r="E574" s="22"/>
      <c r="F574" s="22"/>
      <c r="G574" s="22"/>
      <c r="H574" s="22"/>
      <c r="I574" s="22"/>
      <c r="J574" s="22"/>
    </row>
    <row r="575">
      <c r="C575" s="22"/>
      <c r="D575" s="22"/>
      <c r="E575" s="22"/>
      <c r="F575" s="22"/>
      <c r="G575" s="22"/>
      <c r="H575" s="22"/>
      <c r="I575" s="22"/>
      <c r="J575" s="22"/>
    </row>
    <row r="576">
      <c r="C576" s="22"/>
      <c r="D576" s="22"/>
      <c r="E576" s="22"/>
      <c r="F576" s="22"/>
      <c r="G576" s="22"/>
      <c r="H576" s="22"/>
      <c r="I576" s="22"/>
      <c r="J576" s="22"/>
    </row>
    <row r="577">
      <c r="C577" s="22"/>
      <c r="D577" s="22"/>
      <c r="E577" s="22"/>
      <c r="F577" s="22"/>
      <c r="G577" s="22"/>
      <c r="H577" s="22"/>
      <c r="I577" s="22"/>
      <c r="J577" s="22"/>
    </row>
    <row r="578">
      <c r="C578" s="22"/>
      <c r="D578" s="22"/>
      <c r="E578" s="22"/>
      <c r="F578" s="22"/>
      <c r="G578" s="22"/>
      <c r="H578" s="22"/>
      <c r="I578" s="22"/>
      <c r="J578" s="22"/>
    </row>
    <row r="579">
      <c r="C579" s="22"/>
      <c r="D579" s="22"/>
      <c r="E579" s="22"/>
      <c r="F579" s="22"/>
      <c r="G579" s="22"/>
      <c r="H579" s="22"/>
      <c r="I579" s="22"/>
      <c r="J579" s="22"/>
    </row>
    <row r="580">
      <c r="C580" s="22"/>
      <c r="D580" s="22"/>
      <c r="E580" s="22"/>
      <c r="F580" s="22"/>
      <c r="G580" s="22"/>
      <c r="H580" s="22"/>
      <c r="I580" s="22"/>
      <c r="J580" s="22"/>
    </row>
    <row r="581">
      <c r="C581" s="22"/>
      <c r="D581" s="22"/>
      <c r="E581" s="22"/>
      <c r="F581" s="22"/>
      <c r="G581" s="22"/>
      <c r="H581" s="22"/>
      <c r="I581" s="22"/>
      <c r="J581" s="22"/>
    </row>
    <row r="582">
      <c r="C582" s="22"/>
      <c r="D582" s="22"/>
      <c r="E582" s="22"/>
      <c r="F582" s="22"/>
      <c r="G582" s="22"/>
      <c r="H582" s="22"/>
      <c r="I582" s="22"/>
      <c r="J582" s="22"/>
    </row>
    <row r="583">
      <c r="C583" s="22"/>
      <c r="D583" s="22"/>
      <c r="E583" s="22"/>
      <c r="F583" s="22"/>
      <c r="G583" s="22"/>
      <c r="H583" s="22"/>
      <c r="I583" s="22"/>
      <c r="J583" s="22"/>
    </row>
    <row r="584">
      <c r="C584" s="22"/>
      <c r="D584" s="22"/>
      <c r="E584" s="22"/>
      <c r="F584" s="22"/>
      <c r="G584" s="22"/>
      <c r="H584" s="22"/>
      <c r="I584" s="22"/>
      <c r="J584" s="22"/>
    </row>
    <row r="585">
      <c r="C585" s="22"/>
      <c r="D585" s="22"/>
      <c r="E585" s="22"/>
      <c r="F585" s="22"/>
      <c r="G585" s="22"/>
      <c r="H585" s="22"/>
      <c r="I585" s="22"/>
      <c r="J585" s="22"/>
    </row>
    <row r="586">
      <c r="C586" s="22"/>
      <c r="D586" s="22"/>
      <c r="E586" s="22"/>
      <c r="F586" s="22"/>
      <c r="G586" s="22"/>
      <c r="H586" s="22"/>
      <c r="I586" s="22"/>
      <c r="J586" s="22"/>
    </row>
    <row r="587">
      <c r="C587" s="22"/>
      <c r="D587" s="22"/>
      <c r="E587" s="22"/>
      <c r="F587" s="22"/>
      <c r="G587" s="22"/>
      <c r="H587" s="22"/>
      <c r="I587" s="22"/>
      <c r="J587" s="22"/>
    </row>
    <row r="588">
      <c r="C588" s="22"/>
      <c r="D588" s="22"/>
      <c r="E588" s="22"/>
      <c r="F588" s="22"/>
      <c r="G588" s="22"/>
      <c r="H588" s="22"/>
      <c r="I588" s="22"/>
      <c r="J588" s="22"/>
    </row>
    <row r="589">
      <c r="C589" s="22"/>
      <c r="D589" s="22"/>
      <c r="E589" s="22"/>
      <c r="F589" s="22"/>
      <c r="G589" s="22"/>
      <c r="H589" s="22"/>
      <c r="I589" s="22"/>
      <c r="J589" s="22"/>
    </row>
    <row r="590">
      <c r="C590" s="22"/>
      <c r="D590" s="22"/>
      <c r="E590" s="22"/>
      <c r="F590" s="22"/>
      <c r="G590" s="22"/>
      <c r="H590" s="22"/>
      <c r="I590" s="22"/>
      <c r="J590" s="22"/>
    </row>
    <row r="591">
      <c r="C591" s="22"/>
      <c r="D591" s="22"/>
      <c r="E591" s="22"/>
      <c r="F591" s="22"/>
      <c r="G591" s="22"/>
      <c r="H591" s="22"/>
      <c r="I591" s="22"/>
      <c r="J591" s="22"/>
    </row>
    <row r="592">
      <c r="C592" s="22"/>
      <c r="D592" s="22"/>
      <c r="E592" s="22"/>
      <c r="F592" s="22"/>
      <c r="G592" s="22"/>
      <c r="H592" s="22"/>
      <c r="I592" s="22"/>
      <c r="J592" s="22"/>
    </row>
    <row r="593">
      <c r="C593" s="22"/>
      <c r="D593" s="22"/>
      <c r="E593" s="22"/>
      <c r="F593" s="22"/>
      <c r="G593" s="22"/>
      <c r="H593" s="22"/>
      <c r="I593" s="22"/>
      <c r="J593" s="22"/>
    </row>
    <row r="594">
      <c r="C594" s="22"/>
      <c r="D594" s="22"/>
      <c r="E594" s="22"/>
      <c r="F594" s="22"/>
      <c r="G594" s="22"/>
      <c r="H594" s="22"/>
      <c r="I594" s="22"/>
      <c r="J594" s="22"/>
    </row>
    <row r="595">
      <c r="C595" s="22"/>
      <c r="D595" s="22"/>
      <c r="E595" s="22"/>
      <c r="F595" s="22"/>
      <c r="G595" s="22"/>
      <c r="H595" s="22"/>
      <c r="I595" s="22"/>
      <c r="J595" s="22"/>
    </row>
    <row r="596">
      <c r="C596" s="22"/>
      <c r="D596" s="22"/>
      <c r="E596" s="22"/>
      <c r="F596" s="22"/>
      <c r="G596" s="22"/>
      <c r="H596" s="22"/>
      <c r="I596" s="22"/>
      <c r="J596" s="22"/>
    </row>
    <row r="597">
      <c r="C597" s="22"/>
      <c r="D597" s="22"/>
      <c r="E597" s="22"/>
      <c r="F597" s="22"/>
      <c r="G597" s="22"/>
      <c r="H597" s="22"/>
      <c r="I597" s="22"/>
      <c r="J597" s="22"/>
    </row>
    <row r="598">
      <c r="C598" s="22"/>
      <c r="D598" s="22"/>
      <c r="E598" s="22"/>
      <c r="F598" s="22"/>
      <c r="G598" s="22"/>
      <c r="H598" s="22"/>
      <c r="I598" s="22"/>
      <c r="J598" s="22"/>
    </row>
    <row r="599">
      <c r="C599" s="22"/>
      <c r="D599" s="22"/>
      <c r="E599" s="22"/>
      <c r="F599" s="22"/>
      <c r="G599" s="22"/>
      <c r="H599" s="22"/>
      <c r="I599" s="22"/>
      <c r="J599" s="22"/>
    </row>
    <row r="600">
      <c r="C600" s="22"/>
      <c r="D600" s="22"/>
      <c r="E600" s="22"/>
      <c r="F600" s="22"/>
      <c r="G600" s="22"/>
      <c r="H600" s="22"/>
      <c r="I600" s="22"/>
      <c r="J600" s="22"/>
    </row>
    <row r="601">
      <c r="C601" s="22"/>
      <c r="D601" s="22"/>
      <c r="E601" s="22"/>
      <c r="F601" s="22"/>
      <c r="G601" s="22"/>
      <c r="H601" s="22"/>
      <c r="I601" s="22"/>
      <c r="J601" s="22"/>
    </row>
    <row r="602">
      <c r="C602" s="22"/>
      <c r="D602" s="22"/>
      <c r="E602" s="22"/>
      <c r="F602" s="22"/>
      <c r="G602" s="22"/>
      <c r="H602" s="22"/>
      <c r="I602" s="22"/>
      <c r="J602" s="22"/>
    </row>
    <row r="603">
      <c r="C603" s="22"/>
      <c r="D603" s="22"/>
      <c r="E603" s="22"/>
      <c r="F603" s="22"/>
      <c r="G603" s="22"/>
      <c r="H603" s="22"/>
      <c r="I603" s="22"/>
      <c r="J603" s="22"/>
    </row>
    <row r="604">
      <c r="C604" s="22"/>
      <c r="D604" s="22"/>
      <c r="E604" s="22"/>
      <c r="F604" s="22"/>
      <c r="G604" s="22"/>
      <c r="H604" s="22"/>
      <c r="I604" s="22"/>
      <c r="J604" s="22"/>
    </row>
    <row r="605">
      <c r="C605" s="22"/>
      <c r="D605" s="22"/>
      <c r="E605" s="22"/>
      <c r="F605" s="22"/>
      <c r="G605" s="22"/>
      <c r="H605" s="22"/>
      <c r="I605" s="22"/>
      <c r="J605" s="22"/>
    </row>
    <row r="606">
      <c r="C606" s="22"/>
      <c r="D606" s="22"/>
      <c r="E606" s="22"/>
      <c r="F606" s="22"/>
      <c r="G606" s="22"/>
      <c r="H606" s="22"/>
      <c r="I606" s="22"/>
      <c r="J606" s="22"/>
    </row>
    <row r="607">
      <c r="C607" s="22"/>
      <c r="D607" s="22"/>
      <c r="E607" s="22"/>
      <c r="F607" s="22"/>
      <c r="G607" s="22"/>
      <c r="H607" s="22"/>
      <c r="I607" s="22"/>
      <c r="J607" s="22"/>
    </row>
    <row r="608">
      <c r="C608" s="22"/>
      <c r="D608" s="22"/>
      <c r="E608" s="22"/>
      <c r="F608" s="22"/>
      <c r="G608" s="22"/>
      <c r="H608" s="22"/>
      <c r="I608" s="22"/>
      <c r="J608" s="22"/>
    </row>
    <row r="609">
      <c r="C609" s="22"/>
      <c r="D609" s="22"/>
      <c r="E609" s="22"/>
      <c r="F609" s="22"/>
      <c r="G609" s="22"/>
      <c r="H609" s="22"/>
      <c r="I609" s="22"/>
      <c r="J609" s="22"/>
    </row>
    <row r="610">
      <c r="C610" s="22"/>
      <c r="D610" s="22"/>
      <c r="E610" s="22"/>
      <c r="F610" s="22"/>
      <c r="G610" s="22"/>
      <c r="H610" s="22"/>
      <c r="I610" s="22"/>
      <c r="J610" s="22"/>
    </row>
    <row r="611">
      <c r="C611" s="22"/>
      <c r="D611" s="22"/>
      <c r="E611" s="22"/>
      <c r="F611" s="22"/>
      <c r="G611" s="22"/>
      <c r="H611" s="22"/>
      <c r="I611" s="22"/>
      <c r="J611" s="22"/>
    </row>
    <row r="612">
      <c r="C612" s="22"/>
      <c r="D612" s="22"/>
      <c r="E612" s="22"/>
      <c r="F612" s="22"/>
      <c r="G612" s="22"/>
      <c r="H612" s="22"/>
      <c r="I612" s="22"/>
      <c r="J612" s="22"/>
    </row>
    <row r="613">
      <c r="C613" s="22"/>
      <c r="D613" s="22"/>
      <c r="E613" s="22"/>
      <c r="F613" s="22"/>
      <c r="G613" s="22"/>
      <c r="H613" s="22"/>
      <c r="I613" s="22"/>
      <c r="J613" s="22"/>
    </row>
    <row r="614">
      <c r="C614" s="22"/>
      <c r="D614" s="22"/>
      <c r="E614" s="22"/>
      <c r="F614" s="22"/>
      <c r="G614" s="22"/>
      <c r="H614" s="22"/>
      <c r="I614" s="22"/>
      <c r="J614" s="22"/>
    </row>
    <row r="615">
      <c r="C615" s="22"/>
      <c r="D615" s="22"/>
      <c r="E615" s="22"/>
      <c r="F615" s="22"/>
      <c r="G615" s="22"/>
      <c r="H615" s="22"/>
      <c r="I615" s="22"/>
      <c r="J615" s="22"/>
    </row>
    <row r="616">
      <c r="C616" s="22"/>
      <c r="D616" s="22"/>
      <c r="E616" s="22"/>
      <c r="F616" s="22"/>
      <c r="G616" s="22"/>
      <c r="H616" s="22"/>
      <c r="I616" s="22"/>
      <c r="J616" s="22"/>
    </row>
    <row r="617">
      <c r="C617" s="22"/>
      <c r="D617" s="22"/>
      <c r="E617" s="22"/>
      <c r="F617" s="22"/>
      <c r="G617" s="22"/>
      <c r="H617" s="22"/>
      <c r="I617" s="22"/>
      <c r="J617" s="22"/>
    </row>
    <row r="618">
      <c r="C618" s="22"/>
      <c r="D618" s="22"/>
      <c r="E618" s="22"/>
      <c r="F618" s="22"/>
      <c r="G618" s="22"/>
      <c r="H618" s="22"/>
      <c r="I618" s="22"/>
      <c r="J618" s="22"/>
    </row>
    <row r="619">
      <c r="C619" s="22"/>
      <c r="D619" s="22"/>
      <c r="E619" s="22"/>
      <c r="F619" s="22"/>
      <c r="G619" s="22"/>
      <c r="H619" s="22"/>
      <c r="I619" s="22"/>
      <c r="J619" s="22"/>
    </row>
    <row r="620">
      <c r="C620" s="22"/>
      <c r="D620" s="22"/>
      <c r="E620" s="22"/>
      <c r="F620" s="22"/>
      <c r="G620" s="22"/>
      <c r="H620" s="22"/>
      <c r="I620" s="22"/>
      <c r="J620" s="22"/>
    </row>
    <row r="621">
      <c r="C621" s="22"/>
      <c r="D621" s="22"/>
      <c r="E621" s="22"/>
      <c r="F621" s="22"/>
      <c r="G621" s="22"/>
      <c r="H621" s="22"/>
      <c r="I621" s="22"/>
      <c r="J621" s="22"/>
    </row>
    <row r="622">
      <c r="C622" s="22"/>
      <c r="D622" s="22"/>
      <c r="E622" s="22"/>
      <c r="F622" s="22"/>
      <c r="G622" s="22"/>
      <c r="H622" s="22"/>
      <c r="I622" s="22"/>
      <c r="J622" s="22"/>
    </row>
    <row r="623">
      <c r="C623" s="22"/>
      <c r="D623" s="22"/>
      <c r="E623" s="22"/>
      <c r="F623" s="22"/>
      <c r="G623" s="22"/>
      <c r="H623" s="22"/>
      <c r="I623" s="22"/>
      <c r="J623" s="22"/>
    </row>
    <row r="624">
      <c r="C624" s="22"/>
      <c r="D624" s="22"/>
      <c r="E624" s="22"/>
      <c r="F624" s="22"/>
      <c r="G624" s="22"/>
      <c r="H624" s="22"/>
      <c r="I624" s="22"/>
      <c r="J624" s="22"/>
    </row>
    <row r="625">
      <c r="C625" s="22"/>
      <c r="D625" s="22"/>
      <c r="E625" s="22"/>
      <c r="F625" s="22"/>
      <c r="G625" s="22"/>
      <c r="H625" s="22"/>
      <c r="I625" s="22"/>
      <c r="J625" s="22"/>
    </row>
    <row r="626">
      <c r="C626" s="22"/>
      <c r="D626" s="22"/>
      <c r="E626" s="22"/>
      <c r="F626" s="22"/>
      <c r="G626" s="22"/>
      <c r="H626" s="22"/>
      <c r="I626" s="22"/>
      <c r="J626" s="22"/>
    </row>
    <row r="627">
      <c r="C627" s="22"/>
      <c r="D627" s="22"/>
      <c r="E627" s="22"/>
      <c r="F627" s="22"/>
      <c r="G627" s="22"/>
      <c r="H627" s="22"/>
      <c r="I627" s="22"/>
      <c r="J627" s="22"/>
    </row>
    <row r="628">
      <c r="C628" s="22"/>
      <c r="D628" s="22"/>
      <c r="E628" s="22"/>
      <c r="F628" s="22"/>
      <c r="G628" s="22"/>
      <c r="H628" s="22"/>
      <c r="I628" s="22"/>
      <c r="J628" s="22"/>
    </row>
    <row r="629">
      <c r="C629" s="22"/>
      <c r="D629" s="22"/>
      <c r="E629" s="22"/>
      <c r="F629" s="22"/>
      <c r="G629" s="22"/>
      <c r="H629" s="22"/>
      <c r="I629" s="22"/>
      <c r="J629" s="22"/>
    </row>
    <row r="630">
      <c r="C630" s="22"/>
      <c r="D630" s="22"/>
      <c r="E630" s="22"/>
      <c r="F630" s="22"/>
      <c r="G630" s="22"/>
      <c r="H630" s="22"/>
      <c r="I630" s="22"/>
      <c r="J630" s="22"/>
    </row>
    <row r="631">
      <c r="C631" s="22"/>
      <c r="D631" s="22"/>
      <c r="E631" s="22"/>
      <c r="F631" s="22"/>
      <c r="G631" s="22"/>
      <c r="H631" s="22"/>
      <c r="I631" s="22"/>
      <c r="J631" s="22"/>
    </row>
    <row r="632">
      <c r="C632" s="22"/>
      <c r="D632" s="22"/>
      <c r="E632" s="22"/>
      <c r="F632" s="22"/>
      <c r="G632" s="22"/>
      <c r="H632" s="22"/>
      <c r="I632" s="22"/>
      <c r="J632" s="22"/>
    </row>
    <row r="633">
      <c r="C633" s="22"/>
      <c r="D633" s="22"/>
      <c r="E633" s="22"/>
      <c r="F633" s="22"/>
      <c r="G633" s="22"/>
      <c r="H633" s="22"/>
      <c r="I633" s="22"/>
      <c r="J633" s="22"/>
    </row>
    <row r="634">
      <c r="C634" s="22"/>
      <c r="D634" s="22"/>
      <c r="E634" s="22"/>
      <c r="F634" s="22"/>
      <c r="G634" s="22"/>
      <c r="H634" s="22"/>
      <c r="I634" s="22"/>
      <c r="J634" s="22"/>
    </row>
    <row r="635">
      <c r="C635" s="22"/>
      <c r="D635" s="22"/>
      <c r="E635" s="22"/>
      <c r="F635" s="22"/>
      <c r="G635" s="22"/>
      <c r="H635" s="22"/>
      <c r="I635" s="22"/>
      <c r="J635" s="22"/>
    </row>
    <row r="636">
      <c r="C636" s="22"/>
      <c r="D636" s="22"/>
      <c r="E636" s="22"/>
      <c r="F636" s="22"/>
      <c r="G636" s="22"/>
      <c r="H636" s="22"/>
      <c r="I636" s="22"/>
      <c r="J636" s="22"/>
    </row>
    <row r="637">
      <c r="C637" s="22"/>
      <c r="D637" s="22"/>
      <c r="E637" s="22"/>
      <c r="F637" s="22"/>
      <c r="G637" s="22"/>
      <c r="H637" s="22"/>
      <c r="I637" s="22"/>
      <c r="J637" s="22"/>
    </row>
    <row r="638">
      <c r="C638" s="22"/>
      <c r="D638" s="22"/>
      <c r="E638" s="22"/>
      <c r="F638" s="22"/>
      <c r="G638" s="22"/>
      <c r="H638" s="22"/>
      <c r="I638" s="22"/>
      <c r="J638" s="22"/>
    </row>
    <row r="639">
      <c r="C639" s="22"/>
      <c r="D639" s="22"/>
      <c r="E639" s="22"/>
      <c r="F639" s="22"/>
      <c r="G639" s="22"/>
      <c r="H639" s="22"/>
      <c r="I639" s="22"/>
      <c r="J639" s="22"/>
    </row>
    <row r="640">
      <c r="C640" s="22"/>
      <c r="D640" s="22"/>
      <c r="E640" s="22"/>
      <c r="F640" s="22"/>
      <c r="G640" s="22"/>
      <c r="H640" s="22"/>
      <c r="I640" s="22"/>
      <c r="J640" s="22"/>
    </row>
    <row r="641">
      <c r="C641" s="22"/>
      <c r="D641" s="22"/>
      <c r="E641" s="22"/>
      <c r="F641" s="22"/>
      <c r="G641" s="22"/>
      <c r="H641" s="22"/>
      <c r="I641" s="22"/>
      <c r="J641" s="22"/>
    </row>
    <row r="642">
      <c r="C642" s="22"/>
      <c r="D642" s="22"/>
      <c r="E642" s="22"/>
      <c r="F642" s="22"/>
      <c r="G642" s="22"/>
      <c r="H642" s="22"/>
      <c r="I642" s="22"/>
      <c r="J642" s="22"/>
    </row>
    <row r="643">
      <c r="C643" s="22"/>
      <c r="D643" s="22"/>
      <c r="E643" s="22"/>
      <c r="F643" s="22"/>
      <c r="G643" s="22"/>
      <c r="H643" s="22"/>
      <c r="I643" s="22"/>
      <c r="J643" s="22"/>
    </row>
    <row r="644">
      <c r="C644" s="22"/>
      <c r="D644" s="22"/>
      <c r="E644" s="22"/>
      <c r="F644" s="22"/>
      <c r="G644" s="22"/>
      <c r="H644" s="22"/>
      <c r="I644" s="22"/>
      <c r="J644" s="22"/>
    </row>
    <row r="645">
      <c r="C645" s="22"/>
      <c r="D645" s="22"/>
      <c r="E645" s="22"/>
      <c r="F645" s="22"/>
      <c r="G645" s="22"/>
      <c r="H645" s="22"/>
      <c r="I645" s="22"/>
      <c r="J645" s="22"/>
    </row>
    <row r="646">
      <c r="C646" s="22"/>
      <c r="D646" s="22"/>
      <c r="E646" s="22"/>
      <c r="F646" s="22"/>
      <c r="G646" s="22"/>
      <c r="H646" s="22"/>
      <c r="I646" s="22"/>
      <c r="J646" s="22"/>
    </row>
    <row r="647">
      <c r="C647" s="22"/>
      <c r="D647" s="22"/>
      <c r="E647" s="22"/>
      <c r="F647" s="22"/>
      <c r="G647" s="22"/>
      <c r="H647" s="22"/>
      <c r="I647" s="22"/>
      <c r="J647" s="22"/>
    </row>
    <row r="648">
      <c r="C648" s="22"/>
      <c r="D648" s="22"/>
      <c r="E648" s="22"/>
      <c r="F648" s="22"/>
      <c r="G648" s="22"/>
      <c r="H648" s="22"/>
      <c r="I648" s="22"/>
      <c r="J648" s="22"/>
    </row>
    <row r="649">
      <c r="C649" s="22"/>
      <c r="D649" s="22"/>
      <c r="E649" s="22"/>
      <c r="F649" s="22"/>
      <c r="G649" s="22"/>
      <c r="H649" s="22"/>
      <c r="I649" s="22"/>
      <c r="J649" s="22"/>
    </row>
    <row r="650">
      <c r="C650" s="22"/>
      <c r="D650" s="22"/>
      <c r="E650" s="22"/>
      <c r="F650" s="22"/>
      <c r="G650" s="22"/>
      <c r="H650" s="22"/>
      <c r="I650" s="22"/>
      <c r="J650" s="22"/>
    </row>
    <row r="651">
      <c r="C651" s="22"/>
      <c r="D651" s="22"/>
      <c r="E651" s="22"/>
      <c r="F651" s="22"/>
      <c r="G651" s="22"/>
      <c r="H651" s="22"/>
      <c r="I651" s="22"/>
      <c r="J651" s="22"/>
    </row>
    <row r="652">
      <c r="C652" s="22"/>
      <c r="D652" s="22"/>
      <c r="E652" s="22"/>
      <c r="F652" s="22"/>
      <c r="G652" s="22"/>
      <c r="H652" s="22"/>
      <c r="I652" s="22"/>
      <c r="J652" s="22"/>
    </row>
    <row r="653">
      <c r="C653" s="22"/>
      <c r="D653" s="22"/>
      <c r="E653" s="22"/>
      <c r="F653" s="22"/>
      <c r="G653" s="22"/>
      <c r="H653" s="22"/>
      <c r="I653" s="22"/>
      <c r="J653" s="22"/>
    </row>
    <row r="654">
      <c r="C654" s="22"/>
      <c r="D654" s="22"/>
      <c r="E654" s="22"/>
      <c r="F654" s="22"/>
      <c r="G654" s="22"/>
      <c r="H654" s="22"/>
      <c r="I654" s="22"/>
      <c r="J654" s="22"/>
    </row>
    <row r="655">
      <c r="C655" s="22"/>
      <c r="D655" s="22"/>
      <c r="E655" s="22"/>
      <c r="F655" s="22"/>
      <c r="G655" s="22"/>
      <c r="H655" s="22"/>
      <c r="I655" s="22"/>
      <c r="J655" s="22"/>
    </row>
    <row r="656">
      <c r="C656" s="22"/>
      <c r="D656" s="22"/>
      <c r="E656" s="22"/>
      <c r="F656" s="22"/>
      <c r="G656" s="22"/>
      <c r="H656" s="22"/>
      <c r="I656" s="22"/>
      <c r="J656" s="22"/>
    </row>
    <row r="657">
      <c r="C657" s="22"/>
      <c r="D657" s="22"/>
      <c r="E657" s="22"/>
      <c r="F657" s="22"/>
      <c r="G657" s="22"/>
      <c r="H657" s="22"/>
      <c r="I657" s="22"/>
      <c r="J657" s="22"/>
    </row>
    <row r="658">
      <c r="C658" s="22"/>
      <c r="D658" s="22"/>
      <c r="E658" s="22"/>
      <c r="F658" s="22"/>
      <c r="G658" s="22"/>
      <c r="H658" s="22"/>
      <c r="I658" s="22"/>
      <c r="J658" s="22"/>
    </row>
    <row r="659">
      <c r="C659" s="22"/>
      <c r="D659" s="22"/>
      <c r="E659" s="22"/>
      <c r="F659" s="22"/>
      <c r="G659" s="22"/>
      <c r="H659" s="22"/>
      <c r="I659" s="22"/>
      <c r="J659" s="22"/>
    </row>
    <row r="660">
      <c r="C660" s="22"/>
      <c r="D660" s="22"/>
      <c r="E660" s="22"/>
      <c r="F660" s="22"/>
      <c r="G660" s="22"/>
      <c r="H660" s="22"/>
      <c r="I660" s="22"/>
      <c r="J660" s="22"/>
    </row>
    <row r="661">
      <c r="C661" s="22"/>
      <c r="D661" s="22"/>
      <c r="E661" s="22"/>
      <c r="F661" s="22"/>
      <c r="G661" s="22"/>
      <c r="H661" s="22"/>
      <c r="I661" s="22"/>
      <c r="J661" s="22"/>
    </row>
    <row r="662">
      <c r="C662" s="22"/>
      <c r="D662" s="22"/>
      <c r="E662" s="22"/>
      <c r="F662" s="22"/>
      <c r="G662" s="22"/>
      <c r="H662" s="22"/>
      <c r="I662" s="22"/>
      <c r="J662" s="22"/>
    </row>
    <row r="663">
      <c r="C663" s="22"/>
      <c r="D663" s="22"/>
      <c r="E663" s="22"/>
      <c r="F663" s="22"/>
      <c r="G663" s="22"/>
      <c r="H663" s="22"/>
      <c r="I663" s="22"/>
      <c r="J663" s="22"/>
    </row>
    <row r="664">
      <c r="C664" s="22"/>
      <c r="D664" s="22"/>
      <c r="E664" s="22"/>
      <c r="F664" s="22"/>
      <c r="G664" s="22"/>
      <c r="H664" s="22"/>
      <c r="I664" s="22"/>
      <c r="J664" s="22"/>
    </row>
    <row r="665">
      <c r="C665" s="22"/>
      <c r="D665" s="22"/>
      <c r="E665" s="22"/>
      <c r="F665" s="22"/>
      <c r="G665" s="22"/>
      <c r="H665" s="22"/>
      <c r="I665" s="22"/>
      <c r="J665" s="22"/>
    </row>
    <row r="666">
      <c r="C666" s="22"/>
      <c r="D666" s="22"/>
      <c r="E666" s="22"/>
      <c r="F666" s="22"/>
      <c r="G666" s="22"/>
      <c r="H666" s="22"/>
      <c r="I666" s="22"/>
      <c r="J666" s="22"/>
    </row>
    <row r="667">
      <c r="C667" s="22"/>
      <c r="D667" s="22"/>
      <c r="E667" s="22"/>
      <c r="F667" s="22"/>
      <c r="G667" s="22"/>
      <c r="H667" s="22"/>
      <c r="I667" s="22"/>
      <c r="J667" s="22"/>
    </row>
    <row r="668">
      <c r="C668" s="22"/>
      <c r="D668" s="22"/>
      <c r="E668" s="22"/>
      <c r="F668" s="22"/>
      <c r="G668" s="22"/>
      <c r="H668" s="22"/>
      <c r="I668" s="22"/>
      <c r="J668" s="22"/>
    </row>
    <row r="669">
      <c r="C669" s="22"/>
      <c r="D669" s="22"/>
      <c r="E669" s="22"/>
      <c r="F669" s="22"/>
      <c r="G669" s="22"/>
      <c r="H669" s="22"/>
      <c r="I669" s="22"/>
      <c r="J669" s="22"/>
    </row>
    <row r="670">
      <c r="C670" s="22"/>
      <c r="D670" s="22"/>
      <c r="E670" s="22"/>
      <c r="F670" s="22"/>
      <c r="G670" s="22"/>
      <c r="H670" s="22"/>
      <c r="I670" s="22"/>
      <c r="J670" s="22"/>
    </row>
    <row r="671">
      <c r="C671" s="22"/>
      <c r="D671" s="22"/>
      <c r="E671" s="22"/>
      <c r="F671" s="22"/>
      <c r="G671" s="22"/>
      <c r="H671" s="22"/>
      <c r="I671" s="22"/>
      <c r="J671" s="22"/>
    </row>
    <row r="672">
      <c r="C672" s="22"/>
      <c r="D672" s="22"/>
      <c r="E672" s="22"/>
      <c r="F672" s="22"/>
      <c r="G672" s="22"/>
      <c r="H672" s="22"/>
      <c r="I672" s="22"/>
      <c r="J672" s="22"/>
    </row>
    <row r="673">
      <c r="C673" s="22"/>
      <c r="D673" s="22"/>
      <c r="E673" s="22"/>
      <c r="F673" s="22"/>
      <c r="G673" s="22"/>
      <c r="H673" s="22"/>
      <c r="I673" s="22"/>
      <c r="J673" s="22"/>
    </row>
    <row r="674">
      <c r="C674" s="22"/>
      <c r="D674" s="22"/>
      <c r="E674" s="22"/>
      <c r="F674" s="22"/>
      <c r="G674" s="22"/>
      <c r="H674" s="22"/>
      <c r="I674" s="22"/>
      <c r="J674" s="22"/>
    </row>
    <row r="675">
      <c r="C675" s="22"/>
      <c r="D675" s="22"/>
      <c r="E675" s="22"/>
      <c r="F675" s="22"/>
      <c r="G675" s="22"/>
      <c r="H675" s="22"/>
      <c r="I675" s="22"/>
      <c r="J675" s="22"/>
    </row>
    <row r="676">
      <c r="C676" s="22"/>
      <c r="D676" s="22"/>
      <c r="E676" s="22"/>
      <c r="F676" s="22"/>
      <c r="G676" s="22"/>
      <c r="H676" s="22"/>
      <c r="I676" s="22"/>
      <c r="J676" s="22"/>
    </row>
    <row r="677">
      <c r="C677" s="22"/>
      <c r="D677" s="22"/>
      <c r="E677" s="22"/>
      <c r="F677" s="22"/>
      <c r="G677" s="22"/>
      <c r="H677" s="22"/>
      <c r="I677" s="22"/>
      <c r="J677" s="22"/>
    </row>
    <row r="678">
      <c r="C678" s="22"/>
      <c r="D678" s="22"/>
      <c r="E678" s="22"/>
      <c r="F678" s="22"/>
      <c r="G678" s="22"/>
      <c r="H678" s="22"/>
      <c r="I678" s="22"/>
      <c r="J678" s="22"/>
    </row>
    <row r="679">
      <c r="C679" s="22"/>
      <c r="D679" s="22"/>
      <c r="E679" s="22"/>
      <c r="F679" s="22"/>
      <c r="G679" s="22"/>
      <c r="H679" s="22"/>
      <c r="I679" s="22"/>
      <c r="J679" s="22"/>
    </row>
    <row r="680">
      <c r="C680" s="22"/>
      <c r="D680" s="22"/>
      <c r="E680" s="22"/>
      <c r="F680" s="22"/>
      <c r="G680" s="22"/>
      <c r="H680" s="22"/>
      <c r="I680" s="22"/>
      <c r="J680" s="22"/>
    </row>
    <row r="681">
      <c r="C681" s="22"/>
      <c r="D681" s="22"/>
      <c r="E681" s="22"/>
      <c r="F681" s="22"/>
      <c r="G681" s="22"/>
      <c r="H681" s="22"/>
      <c r="I681" s="22"/>
      <c r="J681" s="22"/>
    </row>
    <row r="682">
      <c r="C682" s="22"/>
      <c r="D682" s="22"/>
      <c r="E682" s="22"/>
      <c r="F682" s="22"/>
      <c r="G682" s="22"/>
      <c r="H682" s="22"/>
      <c r="I682" s="22"/>
      <c r="J682" s="22"/>
    </row>
    <row r="683">
      <c r="C683" s="22"/>
      <c r="D683" s="22"/>
      <c r="E683" s="22"/>
      <c r="F683" s="22"/>
      <c r="G683" s="22"/>
      <c r="H683" s="22"/>
      <c r="I683" s="22"/>
      <c r="J683" s="22"/>
    </row>
    <row r="684">
      <c r="C684" s="22"/>
      <c r="D684" s="22"/>
      <c r="E684" s="22"/>
      <c r="F684" s="22"/>
      <c r="G684" s="22"/>
      <c r="H684" s="22"/>
      <c r="I684" s="22"/>
      <c r="J684" s="22"/>
    </row>
    <row r="685">
      <c r="C685" s="22"/>
      <c r="D685" s="22"/>
      <c r="E685" s="22"/>
      <c r="F685" s="22"/>
      <c r="G685" s="22"/>
      <c r="H685" s="22"/>
      <c r="I685" s="22"/>
      <c r="J685" s="22"/>
    </row>
    <row r="686">
      <c r="C686" s="22"/>
      <c r="D686" s="22"/>
      <c r="E686" s="22"/>
      <c r="F686" s="22"/>
      <c r="G686" s="22"/>
      <c r="H686" s="22"/>
      <c r="I686" s="22"/>
      <c r="J686" s="22"/>
    </row>
    <row r="687">
      <c r="C687" s="22"/>
      <c r="D687" s="22"/>
      <c r="E687" s="22"/>
      <c r="F687" s="22"/>
      <c r="G687" s="22"/>
      <c r="H687" s="22"/>
      <c r="I687" s="22"/>
      <c r="J687" s="22"/>
    </row>
    <row r="688">
      <c r="C688" s="22"/>
      <c r="D688" s="22"/>
      <c r="E688" s="22"/>
      <c r="F688" s="22"/>
      <c r="G688" s="22"/>
      <c r="H688" s="22"/>
      <c r="I688" s="22"/>
      <c r="J688" s="22"/>
    </row>
    <row r="689">
      <c r="C689" s="22"/>
      <c r="D689" s="22"/>
      <c r="E689" s="22"/>
      <c r="F689" s="22"/>
      <c r="G689" s="22"/>
      <c r="H689" s="22"/>
      <c r="I689" s="22"/>
      <c r="J689" s="22"/>
    </row>
    <row r="690">
      <c r="C690" s="22"/>
      <c r="D690" s="22"/>
      <c r="E690" s="22"/>
      <c r="F690" s="22"/>
      <c r="G690" s="22"/>
      <c r="H690" s="22"/>
      <c r="I690" s="22"/>
      <c r="J690" s="22"/>
    </row>
    <row r="691">
      <c r="C691" s="22"/>
      <c r="D691" s="22"/>
      <c r="E691" s="22"/>
      <c r="F691" s="22"/>
      <c r="G691" s="22"/>
      <c r="H691" s="22"/>
      <c r="I691" s="22"/>
      <c r="J691" s="22"/>
    </row>
    <row r="692">
      <c r="C692" s="22"/>
      <c r="D692" s="22"/>
      <c r="E692" s="22"/>
      <c r="F692" s="22"/>
      <c r="G692" s="22"/>
      <c r="H692" s="22"/>
      <c r="I692" s="22"/>
      <c r="J692" s="22"/>
    </row>
    <row r="693">
      <c r="C693" s="22"/>
      <c r="D693" s="22"/>
      <c r="E693" s="22"/>
      <c r="F693" s="22"/>
      <c r="G693" s="22"/>
      <c r="H693" s="22"/>
      <c r="I693" s="22"/>
      <c r="J693" s="22"/>
    </row>
    <row r="694">
      <c r="C694" s="22"/>
      <c r="D694" s="22"/>
      <c r="E694" s="22"/>
      <c r="F694" s="22"/>
      <c r="G694" s="22"/>
      <c r="H694" s="22"/>
      <c r="I694" s="22"/>
      <c r="J694" s="22"/>
    </row>
    <row r="695">
      <c r="C695" s="22"/>
      <c r="D695" s="22"/>
      <c r="E695" s="22"/>
      <c r="F695" s="22"/>
      <c r="G695" s="22"/>
      <c r="H695" s="22"/>
      <c r="I695" s="22"/>
      <c r="J695" s="22"/>
    </row>
    <row r="696">
      <c r="C696" s="22"/>
      <c r="D696" s="22"/>
      <c r="E696" s="22"/>
      <c r="F696" s="22"/>
      <c r="G696" s="22"/>
      <c r="H696" s="22"/>
      <c r="I696" s="22"/>
      <c r="J696" s="22"/>
    </row>
    <row r="697">
      <c r="C697" s="22"/>
      <c r="D697" s="22"/>
      <c r="E697" s="22"/>
      <c r="F697" s="22"/>
      <c r="G697" s="22"/>
      <c r="H697" s="22"/>
      <c r="I697" s="22"/>
      <c r="J697" s="22"/>
    </row>
    <row r="698">
      <c r="C698" s="22"/>
      <c r="D698" s="22"/>
      <c r="E698" s="22"/>
      <c r="F698" s="22"/>
      <c r="G698" s="22"/>
      <c r="H698" s="22"/>
      <c r="I698" s="22"/>
      <c r="J698" s="22"/>
    </row>
    <row r="699">
      <c r="C699" s="22"/>
      <c r="D699" s="22"/>
      <c r="E699" s="22"/>
      <c r="F699" s="22"/>
      <c r="G699" s="22"/>
      <c r="H699" s="22"/>
      <c r="I699" s="22"/>
      <c r="J699" s="22"/>
    </row>
    <row r="700">
      <c r="C700" s="22"/>
      <c r="D700" s="22"/>
      <c r="E700" s="22"/>
      <c r="F700" s="22"/>
      <c r="G700" s="22"/>
      <c r="H700" s="22"/>
      <c r="I700" s="22"/>
      <c r="J700" s="22"/>
    </row>
    <row r="701">
      <c r="C701" s="22"/>
      <c r="D701" s="22"/>
      <c r="E701" s="22"/>
      <c r="F701" s="22"/>
      <c r="G701" s="22"/>
      <c r="H701" s="22"/>
      <c r="I701" s="22"/>
      <c r="J701" s="22"/>
    </row>
    <row r="702">
      <c r="C702" s="22"/>
      <c r="D702" s="22"/>
      <c r="E702" s="22"/>
      <c r="F702" s="22"/>
      <c r="G702" s="22"/>
      <c r="H702" s="22"/>
      <c r="I702" s="22"/>
      <c r="J702" s="22"/>
    </row>
    <row r="703">
      <c r="C703" s="22"/>
      <c r="D703" s="22"/>
      <c r="E703" s="22"/>
      <c r="F703" s="22"/>
      <c r="G703" s="22"/>
      <c r="H703" s="22"/>
      <c r="I703" s="22"/>
      <c r="J703" s="22"/>
    </row>
    <row r="704">
      <c r="C704" s="22"/>
      <c r="D704" s="22"/>
      <c r="E704" s="22"/>
      <c r="F704" s="22"/>
      <c r="G704" s="22"/>
      <c r="H704" s="22"/>
      <c r="I704" s="22"/>
      <c r="J704" s="22"/>
    </row>
    <row r="705">
      <c r="C705" s="22"/>
      <c r="D705" s="22"/>
      <c r="E705" s="22"/>
      <c r="F705" s="22"/>
      <c r="G705" s="22"/>
      <c r="H705" s="22"/>
      <c r="I705" s="22"/>
      <c r="J705" s="22"/>
    </row>
    <row r="706">
      <c r="C706" s="22"/>
      <c r="D706" s="22"/>
      <c r="E706" s="22"/>
      <c r="F706" s="22"/>
      <c r="G706" s="22"/>
      <c r="H706" s="22"/>
      <c r="I706" s="22"/>
      <c r="J706" s="22"/>
    </row>
    <row r="707">
      <c r="C707" s="22"/>
      <c r="D707" s="22"/>
      <c r="E707" s="22"/>
      <c r="F707" s="22"/>
      <c r="G707" s="22"/>
      <c r="H707" s="22"/>
      <c r="I707" s="22"/>
      <c r="J707" s="22"/>
    </row>
    <row r="708">
      <c r="C708" s="22"/>
      <c r="D708" s="22"/>
      <c r="E708" s="22"/>
      <c r="F708" s="22"/>
      <c r="G708" s="22"/>
      <c r="H708" s="22"/>
      <c r="I708" s="22"/>
      <c r="J708" s="22"/>
    </row>
    <row r="709">
      <c r="C709" s="22"/>
      <c r="D709" s="22"/>
      <c r="E709" s="22"/>
      <c r="F709" s="22"/>
      <c r="G709" s="22"/>
      <c r="H709" s="22"/>
      <c r="I709" s="22"/>
      <c r="J709" s="22"/>
    </row>
    <row r="710">
      <c r="C710" s="22"/>
      <c r="D710" s="22"/>
      <c r="E710" s="22"/>
      <c r="F710" s="22"/>
      <c r="G710" s="22"/>
      <c r="H710" s="22"/>
      <c r="I710" s="22"/>
      <c r="J710" s="22"/>
    </row>
    <row r="711">
      <c r="C711" s="22"/>
      <c r="D711" s="22"/>
      <c r="E711" s="22"/>
      <c r="F711" s="22"/>
      <c r="G711" s="22"/>
      <c r="H711" s="22"/>
      <c r="I711" s="22"/>
      <c r="J711" s="22"/>
    </row>
    <row r="712">
      <c r="C712" s="22"/>
      <c r="D712" s="22"/>
      <c r="E712" s="22"/>
      <c r="F712" s="22"/>
      <c r="G712" s="22"/>
      <c r="H712" s="22"/>
      <c r="I712" s="22"/>
      <c r="J712" s="22"/>
    </row>
    <row r="713">
      <c r="C713" s="22"/>
      <c r="D713" s="22"/>
      <c r="E713" s="22"/>
      <c r="F713" s="22"/>
      <c r="G713" s="22"/>
      <c r="H713" s="22"/>
      <c r="I713" s="22"/>
      <c r="J713" s="22"/>
    </row>
    <row r="714">
      <c r="C714" s="22"/>
      <c r="D714" s="22"/>
      <c r="E714" s="22"/>
      <c r="F714" s="22"/>
      <c r="G714" s="22"/>
      <c r="H714" s="22"/>
      <c r="I714" s="22"/>
      <c r="J714" s="22"/>
    </row>
    <row r="715">
      <c r="C715" s="22"/>
      <c r="D715" s="22"/>
      <c r="E715" s="22"/>
      <c r="F715" s="22"/>
      <c r="G715" s="22"/>
      <c r="H715" s="22"/>
      <c r="I715" s="22"/>
      <c r="J715" s="22"/>
    </row>
    <row r="716">
      <c r="C716" s="22"/>
      <c r="D716" s="22"/>
      <c r="E716" s="22"/>
      <c r="F716" s="22"/>
      <c r="G716" s="22"/>
      <c r="H716" s="22"/>
      <c r="I716" s="22"/>
      <c r="J716" s="22"/>
    </row>
    <row r="717">
      <c r="C717" s="22"/>
      <c r="D717" s="22"/>
      <c r="E717" s="22"/>
      <c r="F717" s="22"/>
      <c r="G717" s="22"/>
      <c r="H717" s="22"/>
      <c r="I717" s="22"/>
      <c r="J717" s="22"/>
    </row>
    <row r="718">
      <c r="C718" s="22"/>
      <c r="D718" s="22"/>
      <c r="E718" s="22"/>
      <c r="F718" s="22"/>
      <c r="G718" s="22"/>
      <c r="H718" s="22"/>
      <c r="I718" s="22"/>
      <c r="J718" s="22"/>
    </row>
    <row r="719">
      <c r="C719" s="22"/>
      <c r="D719" s="22"/>
      <c r="E719" s="22"/>
      <c r="F719" s="22"/>
      <c r="G719" s="22"/>
      <c r="H719" s="22"/>
      <c r="I719" s="22"/>
      <c r="J719" s="22"/>
    </row>
    <row r="720">
      <c r="C720" s="22"/>
      <c r="D720" s="22"/>
      <c r="E720" s="22"/>
      <c r="F720" s="22"/>
      <c r="G720" s="22"/>
      <c r="H720" s="22"/>
      <c r="I720" s="22"/>
      <c r="J720" s="22"/>
    </row>
    <row r="721">
      <c r="C721" s="22"/>
      <c r="D721" s="22"/>
      <c r="E721" s="22"/>
      <c r="F721" s="22"/>
      <c r="G721" s="22"/>
      <c r="H721" s="22"/>
      <c r="I721" s="22"/>
      <c r="J721" s="22"/>
    </row>
    <row r="722">
      <c r="C722" s="22"/>
      <c r="D722" s="22"/>
      <c r="E722" s="22"/>
      <c r="F722" s="22"/>
      <c r="G722" s="22"/>
      <c r="H722" s="22"/>
      <c r="I722" s="22"/>
      <c r="J722" s="22"/>
    </row>
    <row r="723">
      <c r="C723" s="22"/>
      <c r="D723" s="22"/>
      <c r="E723" s="22"/>
      <c r="F723" s="22"/>
      <c r="G723" s="22"/>
      <c r="H723" s="22"/>
      <c r="I723" s="22"/>
      <c r="J723" s="22"/>
    </row>
    <row r="724">
      <c r="C724" s="22"/>
      <c r="D724" s="22"/>
      <c r="E724" s="22"/>
      <c r="F724" s="22"/>
      <c r="G724" s="22"/>
      <c r="H724" s="22"/>
      <c r="I724" s="22"/>
      <c r="J724" s="22"/>
    </row>
    <row r="725">
      <c r="C725" s="22"/>
      <c r="D725" s="22"/>
      <c r="E725" s="22"/>
      <c r="F725" s="22"/>
      <c r="G725" s="22"/>
      <c r="H725" s="22"/>
      <c r="I725" s="22"/>
      <c r="J725" s="22"/>
    </row>
    <row r="726">
      <c r="C726" s="22"/>
      <c r="D726" s="22"/>
      <c r="E726" s="22"/>
      <c r="F726" s="22"/>
      <c r="G726" s="22"/>
      <c r="H726" s="22"/>
      <c r="I726" s="22"/>
      <c r="J726" s="22"/>
    </row>
    <row r="727">
      <c r="C727" s="22"/>
      <c r="D727" s="22"/>
      <c r="E727" s="22"/>
      <c r="F727" s="22"/>
      <c r="G727" s="22"/>
      <c r="H727" s="22"/>
      <c r="I727" s="22"/>
      <c r="J727" s="22"/>
    </row>
    <row r="728">
      <c r="C728" s="22"/>
      <c r="D728" s="22"/>
      <c r="E728" s="22"/>
      <c r="F728" s="22"/>
      <c r="G728" s="22"/>
      <c r="H728" s="22"/>
      <c r="I728" s="22"/>
      <c r="J728" s="22"/>
    </row>
    <row r="729">
      <c r="C729" s="22"/>
      <c r="D729" s="22"/>
      <c r="E729" s="22"/>
      <c r="F729" s="22"/>
      <c r="G729" s="22"/>
      <c r="H729" s="22"/>
      <c r="I729" s="22"/>
      <c r="J729" s="22"/>
    </row>
    <row r="730">
      <c r="C730" s="22"/>
      <c r="D730" s="22"/>
      <c r="E730" s="22"/>
      <c r="F730" s="22"/>
      <c r="G730" s="22"/>
      <c r="H730" s="22"/>
      <c r="I730" s="22"/>
      <c r="J730" s="22"/>
    </row>
    <row r="731">
      <c r="C731" s="22"/>
      <c r="D731" s="22"/>
      <c r="E731" s="22"/>
      <c r="F731" s="22"/>
      <c r="G731" s="22"/>
      <c r="H731" s="22"/>
      <c r="I731" s="22"/>
      <c r="J731" s="22"/>
    </row>
    <row r="732">
      <c r="C732" s="22"/>
      <c r="D732" s="22"/>
      <c r="E732" s="22"/>
      <c r="F732" s="22"/>
      <c r="G732" s="22"/>
      <c r="H732" s="22"/>
      <c r="I732" s="22"/>
      <c r="J732" s="22"/>
    </row>
    <row r="733">
      <c r="C733" s="22"/>
      <c r="D733" s="22"/>
      <c r="E733" s="22"/>
      <c r="F733" s="22"/>
      <c r="G733" s="22"/>
      <c r="H733" s="22"/>
      <c r="I733" s="22"/>
      <c r="J733" s="22"/>
    </row>
    <row r="734">
      <c r="C734" s="22"/>
      <c r="D734" s="22"/>
      <c r="E734" s="22"/>
      <c r="F734" s="22"/>
      <c r="G734" s="22"/>
      <c r="H734" s="22"/>
      <c r="I734" s="22"/>
      <c r="J734" s="22"/>
    </row>
    <row r="735">
      <c r="C735" s="22"/>
      <c r="D735" s="22"/>
      <c r="E735" s="22"/>
      <c r="F735" s="22"/>
      <c r="G735" s="22"/>
      <c r="H735" s="22"/>
      <c r="I735" s="22"/>
      <c r="J735" s="22"/>
    </row>
    <row r="736">
      <c r="C736" s="22"/>
      <c r="D736" s="22"/>
      <c r="E736" s="22"/>
      <c r="F736" s="22"/>
      <c r="G736" s="22"/>
      <c r="H736" s="22"/>
      <c r="I736" s="22"/>
      <c r="J736" s="22"/>
    </row>
    <row r="737">
      <c r="C737" s="22"/>
      <c r="D737" s="22"/>
      <c r="E737" s="22"/>
      <c r="F737" s="22"/>
      <c r="G737" s="22"/>
      <c r="H737" s="22"/>
      <c r="I737" s="22"/>
      <c r="J737" s="22"/>
    </row>
    <row r="738">
      <c r="C738" s="22"/>
      <c r="D738" s="22"/>
      <c r="E738" s="22"/>
      <c r="F738" s="22"/>
      <c r="G738" s="22"/>
      <c r="H738" s="22"/>
      <c r="I738" s="22"/>
      <c r="J738" s="22"/>
    </row>
    <row r="739">
      <c r="C739" s="22"/>
      <c r="D739" s="22"/>
      <c r="E739" s="22"/>
      <c r="F739" s="22"/>
      <c r="G739" s="22"/>
      <c r="H739" s="22"/>
      <c r="I739" s="22"/>
      <c r="J739" s="22"/>
    </row>
    <row r="740">
      <c r="C740" s="22"/>
      <c r="D740" s="22"/>
      <c r="E740" s="22"/>
      <c r="F740" s="22"/>
      <c r="G740" s="22"/>
      <c r="H740" s="22"/>
      <c r="I740" s="22"/>
      <c r="J740" s="22"/>
    </row>
    <row r="741">
      <c r="C741" s="22"/>
      <c r="D741" s="22"/>
      <c r="E741" s="22"/>
      <c r="F741" s="22"/>
      <c r="G741" s="22"/>
      <c r="H741" s="22"/>
      <c r="I741" s="22"/>
      <c r="J741" s="22"/>
    </row>
    <row r="742">
      <c r="C742" s="22"/>
      <c r="D742" s="22"/>
      <c r="E742" s="22"/>
      <c r="F742" s="22"/>
      <c r="G742" s="22"/>
      <c r="H742" s="22"/>
      <c r="I742" s="22"/>
      <c r="J742" s="22"/>
    </row>
    <row r="743">
      <c r="C743" s="22"/>
      <c r="D743" s="22"/>
      <c r="E743" s="22"/>
      <c r="F743" s="22"/>
      <c r="G743" s="22"/>
      <c r="H743" s="22"/>
      <c r="I743" s="22"/>
      <c r="J743" s="22"/>
    </row>
    <row r="744">
      <c r="C744" s="22"/>
      <c r="D744" s="22"/>
      <c r="E744" s="22"/>
      <c r="F744" s="22"/>
      <c r="G744" s="22"/>
      <c r="H744" s="22"/>
      <c r="I744" s="22"/>
      <c r="J744" s="22"/>
    </row>
    <row r="745">
      <c r="C745" s="22"/>
      <c r="D745" s="22"/>
      <c r="E745" s="22"/>
      <c r="F745" s="22"/>
      <c r="G745" s="22"/>
      <c r="H745" s="22"/>
      <c r="I745" s="22"/>
      <c r="J745" s="22"/>
    </row>
    <row r="746">
      <c r="C746" s="22"/>
      <c r="D746" s="22"/>
      <c r="E746" s="22"/>
      <c r="F746" s="22"/>
      <c r="G746" s="22"/>
      <c r="H746" s="22"/>
      <c r="I746" s="22"/>
      <c r="J746" s="22"/>
    </row>
    <row r="747">
      <c r="C747" s="22"/>
      <c r="D747" s="22"/>
      <c r="E747" s="22"/>
      <c r="F747" s="22"/>
      <c r="G747" s="22"/>
      <c r="H747" s="22"/>
      <c r="I747" s="22"/>
      <c r="J747" s="22"/>
    </row>
    <row r="748">
      <c r="C748" s="22"/>
      <c r="D748" s="22"/>
      <c r="E748" s="22"/>
      <c r="F748" s="22"/>
      <c r="G748" s="22"/>
      <c r="H748" s="22"/>
      <c r="I748" s="22"/>
      <c r="J748" s="22"/>
    </row>
    <row r="749">
      <c r="C749" s="22"/>
      <c r="D749" s="22"/>
      <c r="E749" s="22"/>
      <c r="F749" s="22"/>
      <c r="G749" s="22"/>
      <c r="H749" s="22"/>
      <c r="I749" s="22"/>
      <c r="J749" s="22"/>
    </row>
    <row r="750">
      <c r="C750" s="22"/>
      <c r="D750" s="22"/>
      <c r="E750" s="22"/>
      <c r="F750" s="22"/>
      <c r="G750" s="22"/>
      <c r="H750" s="22"/>
      <c r="I750" s="22"/>
      <c r="J750" s="22"/>
    </row>
    <row r="751">
      <c r="C751" s="22"/>
      <c r="D751" s="22"/>
      <c r="E751" s="22"/>
      <c r="F751" s="22"/>
      <c r="G751" s="22"/>
      <c r="H751" s="22"/>
      <c r="I751" s="22"/>
      <c r="J751" s="22"/>
    </row>
    <row r="752">
      <c r="C752" s="22"/>
      <c r="D752" s="22"/>
      <c r="E752" s="22"/>
      <c r="F752" s="22"/>
      <c r="G752" s="22"/>
      <c r="H752" s="22"/>
      <c r="I752" s="22"/>
      <c r="J752" s="22"/>
    </row>
    <row r="753">
      <c r="C753" s="22"/>
      <c r="D753" s="22"/>
      <c r="E753" s="22"/>
      <c r="F753" s="22"/>
      <c r="G753" s="22"/>
      <c r="H753" s="22"/>
      <c r="I753" s="22"/>
      <c r="J753" s="22"/>
    </row>
    <row r="754">
      <c r="C754" s="22"/>
      <c r="D754" s="22"/>
      <c r="E754" s="22"/>
      <c r="F754" s="22"/>
      <c r="G754" s="22"/>
      <c r="H754" s="22"/>
      <c r="I754" s="22"/>
      <c r="J754" s="22"/>
    </row>
    <row r="755">
      <c r="C755" s="22"/>
      <c r="D755" s="22"/>
      <c r="E755" s="22"/>
      <c r="F755" s="22"/>
      <c r="G755" s="22"/>
      <c r="H755" s="22"/>
      <c r="I755" s="22"/>
      <c r="J755" s="22"/>
    </row>
    <row r="756">
      <c r="C756" s="22"/>
      <c r="D756" s="22"/>
      <c r="E756" s="22"/>
      <c r="F756" s="22"/>
      <c r="G756" s="22"/>
      <c r="H756" s="22"/>
      <c r="I756" s="22"/>
      <c r="J756" s="22"/>
    </row>
    <row r="757">
      <c r="C757" s="22"/>
      <c r="D757" s="22"/>
      <c r="E757" s="22"/>
      <c r="F757" s="22"/>
      <c r="G757" s="22"/>
      <c r="H757" s="22"/>
      <c r="I757" s="22"/>
      <c r="J757" s="22"/>
    </row>
    <row r="758">
      <c r="C758" s="22"/>
      <c r="D758" s="22"/>
      <c r="E758" s="22"/>
      <c r="F758" s="22"/>
      <c r="G758" s="22"/>
      <c r="H758" s="22"/>
      <c r="I758" s="22"/>
      <c r="J758" s="22"/>
    </row>
    <row r="759">
      <c r="C759" s="22"/>
      <c r="D759" s="22"/>
      <c r="E759" s="22"/>
      <c r="F759" s="22"/>
      <c r="G759" s="22"/>
      <c r="H759" s="22"/>
      <c r="I759" s="22"/>
      <c r="J759" s="22"/>
    </row>
    <row r="760">
      <c r="C760" s="22"/>
      <c r="D760" s="22"/>
      <c r="E760" s="22"/>
      <c r="F760" s="22"/>
      <c r="G760" s="22"/>
      <c r="H760" s="22"/>
      <c r="I760" s="22"/>
      <c r="J760" s="22"/>
    </row>
    <row r="761">
      <c r="C761" s="22"/>
      <c r="D761" s="22"/>
      <c r="E761" s="22"/>
      <c r="F761" s="22"/>
      <c r="G761" s="22"/>
      <c r="H761" s="22"/>
      <c r="I761" s="22"/>
      <c r="J761" s="22"/>
    </row>
    <row r="762">
      <c r="C762" s="22"/>
      <c r="D762" s="22"/>
      <c r="E762" s="22"/>
      <c r="F762" s="22"/>
      <c r="G762" s="22"/>
      <c r="H762" s="22"/>
      <c r="I762" s="22"/>
      <c r="J762" s="22"/>
    </row>
    <row r="763">
      <c r="C763" s="22"/>
      <c r="D763" s="22"/>
      <c r="E763" s="22"/>
      <c r="F763" s="22"/>
      <c r="G763" s="22"/>
      <c r="H763" s="22"/>
      <c r="I763" s="22"/>
      <c r="J763" s="22"/>
    </row>
    <row r="764">
      <c r="C764" s="22"/>
      <c r="D764" s="22"/>
      <c r="E764" s="22"/>
      <c r="F764" s="22"/>
      <c r="G764" s="22"/>
      <c r="H764" s="22"/>
      <c r="I764" s="22"/>
      <c r="J764" s="22"/>
    </row>
    <row r="765">
      <c r="C765" s="22"/>
      <c r="D765" s="22"/>
      <c r="E765" s="22"/>
      <c r="F765" s="22"/>
      <c r="G765" s="22"/>
      <c r="H765" s="22"/>
      <c r="I765" s="22"/>
      <c r="J765" s="22"/>
    </row>
    <row r="766">
      <c r="C766" s="22"/>
      <c r="D766" s="22"/>
      <c r="E766" s="22"/>
      <c r="F766" s="22"/>
      <c r="G766" s="22"/>
      <c r="H766" s="22"/>
      <c r="I766" s="22"/>
      <c r="J766" s="22"/>
    </row>
    <row r="767">
      <c r="C767" s="22"/>
      <c r="D767" s="22"/>
      <c r="E767" s="22"/>
      <c r="F767" s="22"/>
      <c r="G767" s="22"/>
      <c r="H767" s="22"/>
      <c r="I767" s="22"/>
      <c r="J767" s="22"/>
    </row>
    <row r="768">
      <c r="C768" s="22"/>
      <c r="D768" s="22"/>
      <c r="E768" s="22"/>
      <c r="F768" s="22"/>
      <c r="G768" s="22"/>
      <c r="H768" s="22"/>
      <c r="I768" s="22"/>
      <c r="J768" s="22"/>
    </row>
    <row r="769">
      <c r="C769" s="22"/>
      <c r="D769" s="22"/>
      <c r="E769" s="22"/>
      <c r="F769" s="22"/>
      <c r="G769" s="22"/>
      <c r="H769" s="22"/>
      <c r="I769" s="22"/>
      <c r="J769" s="22"/>
    </row>
    <row r="770">
      <c r="C770" s="22"/>
      <c r="D770" s="22"/>
      <c r="E770" s="22"/>
      <c r="F770" s="22"/>
      <c r="G770" s="22"/>
      <c r="H770" s="22"/>
      <c r="I770" s="22"/>
      <c r="J770" s="22"/>
    </row>
    <row r="771">
      <c r="C771" s="22"/>
      <c r="D771" s="22"/>
      <c r="E771" s="22"/>
      <c r="F771" s="22"/>
      <c r="G771" s="22"/>
      <c r="H771" s="22"/>
      <c r="I771" s="22"/>
      <c r="J771" s="22"/>
    </row>
    <row r="772">
      <c r="C772" s="22"/>
      <c r="D772" s="22"/>
      <c r="E772" s="22"/>
      <c r="F772" s="22"/>
      <c r="G772" s="22"/>
      <c r="H772" s="22"/>
      <c r="I772" s="22"/>
      <c r="J772" s="22"/>
    </row>
    <row r="773">
      <c r="C773" s="22"/>
      <c r="D773" s="22"/>
      <c r="E773" s="22"/>
      <c r="F773" s="22"/>
      <c r="G773" s="22"/>
      <c r="H773" s="22"/>
      <c r="I773" s="22"/>
      <c r="J773" s="22"/>
    </row>
    <row r="774">
      <c r="C774" s="22"/>
      <c r="D774" s="22"/>
      <c r="E774" s="22"/>
      <c r="F774" s="22"/>
      <c r="G774" s="22"/>
      <c r="H774" s="22"/>
      <c r="I774" s="22"/>
      <c r="J774" s="22"/>
    </row>
    <row r="775">
      <c r="C775" s="22"/>
      <c r="D775" s="22"/>
      <c r="E775" s="22"/>
      <c r="F775" s="22"/>
      <c r="G775" s="22"/>
      <c r="H775" s="22"/>
      <c r="I775" s="22"/>
      <c r="J775" s="22"/>
    </row>
    <row r="776">
      <c r="C776" s="22"/>
      <c r="D776" s="22"/>
      <c r="E776" s="22"/>
      <c r="F776" s="22"/>
      <c r="G776" s="22"/>
      <c r="H776" s="22"/>
      <c r="I776" s="22"/>
      <c r="J776" s="22"/>
    </row>
    <row r="777">
      <c r="C777" s="22"/>
      <c r="D777" s="22"/>
      <c r="E777" s="22"/>
      <c r="F777" s="22"/>
      <c r="G777" s="22"/>
      <c r="H777" s="22"/>
      <c r="I777" s="22"/>
      <c r="J777" s="22"/>
    </row>
    <row r="778">
      <c r="C778" s="22"/>
      <c r="D778" s="22"/>
      <c r="E778" s="22"/>
      <c r="F778" s="22"/>
      <c r="G778" s="22"/>
      <c r="H778" s="22"/>
      <c r="I778" s="22"/>
      <c r="J778" s="22"/>
    </row>
    <row r="779">
      <c r="C779" s="22"/>
      <c r="D779" s="22"/>
      <c r="E779" s="22"/>
      <c r="F779" s="22"/>
      <c r="G779" s="22"/>
      <c r="H779" s="22"/>
      <c r="I779" s="22"/>
      <c r="J779" s="22"/>
    </row>
    <row r="780">
      <c r="C780" s="22"/>
      <c r="D780" s="22"/>
      <c r="E780" s="22"/>
      <c r="F780" s="22"/>
      <c r="G780" s="22"/>
      <c r="H780" s="22"/>
      <c r="I780" s="22"/>
      <c r="J780" s="22"/>
    </row>
    <row r="781">
      <c r="C781" s="22"/>
      <c r="D781" s="22"/>
      <c r="E781" s="22"/>
      <c r="F781" s="22"/>
      <c r="G781" s="22"/>
      <c r="H781" s="22"/>
      <c r="I781" s="22"/>
      <c r="J781" s="22"/>
    </row>
    <row r="782">
      <c r="C782" s="22"/>
      <c r="D782" s="22"/>
      <c r="E782" s="22"/>
      <c r="F782" s="22"/>
      <c r="G782" s="22"/>
      <c r="H782" s="22"/>
      <c r="I782" s="22"/>
      <c r="J782" s="22"/>
    </row>
    <row r="783">
      <c r="C783" s="22"/>
      <c r="D783" s="22"/>
      <c r="E783" s="22"/>
      <c r="F783" s="22"/>
      <c r="G783" s="22"/>
      <c r="H783" s="22"/>
      <c r="I783" s="22"/>
      <c r="J783" s="22"/>
    </row>
    <row r="784">
      <c r="C784" s="22"/>
      <c r="D784" s="22"/>
      <c r="E784" s="22"/>
      <c r="F784" s="22"/>
      <c r="G784" s="22"/>
      <c r="H784" s="22"/>
      <c r="I784" s="22"/>
      <c r="J784" s="22"/>
    </row>
    <row r="785">
      <c r="C785" s="22"/>
      <c r="D785" s="22"/>
      <c r="E785" s="22"/>
      <c r="F785" s="22"/>
      <c r="G785" s="22"/>
      <c r="H785" s="22"/>
      <c r="I785" s="22"/>
      <c r="J785" s="22"/>
    </row>
    <row r="786">
      <c r="C786" s="22"/>
      <c r="D786" s="22"/>
      <c r="E786" s="22"/>
      <c r="F786" s="22"/>
      <c r="G786" s="22"/>
      <c r="H786" s="22"/>
      <c r="I786" s="22"/>
      <c r="J786" s="22"/>
    </row>
    <row r="787">
      <c r="C787" s="22"/>
      <c r="D787" s="22"/>
      <c r="E787" s="22"/>
      <c r="F787" s="22"/>
      <c r="G787" s="22"/>
      <c r="H787" s="22"/>
      <c r="I787" s="22"/>
      <c r="J787" s="22"/>
    </row>
    <row r="788">
      <c r="C788" s="22"/>
      <c r="D788" s="22"/>
      <c r="E788" s="22"/>
      <c r="F788" s="22"/>
      <c r="G788" s="22"/>
      <c r="H788" s="22"/>
      <c r="I788" s="22"/>
      <c r="J788" s="22"/>
    </row>
    <row r="789">
      <c r="C789" s="22"/>
      <c r="D789" s="22"/>
      <c r="E789" s="22"/>
      <c r="F789" s="22"/>
      <c r="G789" s="22"/>
      <c r="H789" s="22"/>
      <c r="I789" s="22"/>
      <c r="J789" s="22"/>
    </row>
    <row r="790">
      <c r="C790" s="22"/>
      <c r="D790" s="22"/>
      <c r="E790" s="22"/>
      <c r="F790" s="22"/>
      <c r="G790" s="22"/>
      <c r="H790" s="22"/>
      <c r="I790" s="22"/>
      <c r="J790" s="22"/>
    </row>
    <row r="791">
      <c r="C791" s="22"/>
      <c r="D791" s="22"/>
      <c r="E791" s="22"/>
      <c r="F791" s="22"/>
      <c r="G791" s="22"/>
      <c r="H791" s="22"/>
      <c r="I791" s="22"/>
      <c r="J791" s="22"/>
    </row>
    <row r="792">
      <c r="C792" s="22"/>
      <c r="D792" s="22"/>
      <c r="E792" s="22"/>
      <c r="F792" s="22"/>
      <c r="G792" s="22"/>
      <c r="H792" s="22"/>
      <c r="I792" s="22"/>
      <c r="J792" s="22"/>
    </row>
    <row r="793">
      <c r="C793" s="22"/>
      <c r="D793" s="22"/>
      <c r="E793" s="22"/>
      <c r="F793" s="22"/>
      <c r="G793" s="22"/>
      <c r="H793" s="22"/>
      <c r="I793" s="22"/>
      <c r="J793" s="22"/>
    </row>
    <row r="794">
      <c r="C794" s="22"/>
      <c r="D794" s="22"/>
      <c r="E794" s="22"/>
      <c r="F794" s="22"/>
      <c r="G794" s="22"/>
      <c r="H794" s="22"/>
      <c r="I794" s="22"/>
      <c r="J794" s="22"/>
    </row>
    <row r="795">
      <c r="C795" s="22"/>
      <c r="D795" s="22"/>
      <c r="E795" s="22"/>
      <c r="F795" s="22"/>
      <c r="G795" s="22"/>
      <c r="H795" s="22"/>
      <c r="I795" s="22"/>
      <c r="J795" s="22"/>
    </row>
    <row r="796">
      <c r="C796" s="22"/>
      <c r="D796" s="22"/>
      <c r="E796" s="22"/>
      <c r="F796" s="22"/>
      <c r="G796" s="22"/>
      <c r="H796" s="22"/>
      <c r="I796" s="22"/>
      <c r="J796" s="22"/>
    </row>
    <row r="797">
      <c r="C797" s="22"/>
      <c r="D797" s="22"/>
      <c r="E797" s="22"/>
      <c r="F797" s="22"/>
      <c r="G797" s="22"/>
      <c r="H797" s="22"/>
      <c r="I797" s="22"/>
      <c r="J797" s="22"/>
    </row>
    <row r="798">
      <c r="C798" s="22"/>
      <c r="D798" s="22"/>
      <c r="E798" s="22"/>
      <c r="F798" s="22"/>
      <c r="G798" s="22"/>
      <c r="H798" s="22"/>
      <c r="I798" s="22"/>
      <c r="J798" s="22"/>
    </row>
    <row r="799">
      <c r="C799" s="22"/>
      <c r="D799" s="22"/>
      <c r="E799" s="22"/>
      <c r="F799" s="22"/>
      <c r="G799" s="22"/>
      <c r="H799" s="22"/>
      <c r="I799" s="22"/>
      <c r="J799" s="22"/>
    </row>
    <row r="800">
      <c r="C800" s="22"/>
      <c r="D800" s="22"/>
      <c r="E800" s="22"/>
      <c r="F800" s="22"/>
      <c r="G800" s="22"/>
      <c r="H800" s="22"/>
      <c r="I800" s="22"/>
      <c r="J800" s="22"/>
    </row>
    <row r="801">
      <c r="C801" s="22"/>
      <c r="D801" s="22"/>
      <c r="E801" s="22"/>
      <c r="F801" s="22"/>
      <c r="G801" s="22"/>
      <c r="H801" s="22"/>
      <c r="I801" s="22"/>
      <c r="J801" s="22"/>
    </row>
    <row r="802">
      <c r="C802" s="22"/>
      <c r="D802" s="22"/>
      <c r="E802" s="22"/>
      <c r="F802" s="22"/>
      <c r="G802" s="22"/>
      <c r="H802" s="22"/>
      <c r="I802" s="22"/>
      <c r="J802" s="22"/>
    </row>
    <row r="803">
      <c r="C803" s="22"/>
      <c r="D803" s="22"/>
      <c r="E803" s="22"/>
      <c r="F803" s="22"/>
      <c r="G803" s="22"/>
      <c r="H803" s="22"/>
      <c r="I803" s="22"/>
      <c r="J803" s="22"/>
    </row>
    <row r="804">
      <c r="C804" s="22"/>
      <c r="D804" s="22"/>
      <c r="E804" s="22"/>
      <c r="F804" s="22"/>
      <c r="G804" s="22"/>
      <c r="H804" s="22"/>
      <c r="I804" s="22"/>
      <c r="J804" s="22"/>
    </row>
    <row r="805">
      <c r="C805" s="22"/>
      <c r="D805" s="22"/>
      <c r="E805" s="22"/>
      <c r="F805" s="22"/>
      <c r="G805" s="22"/>
      <c r="H805" s="22"/>
      <c r="I805" s="22"/>
      <c r="J805" s="22"/>
    </row>
    <row r="806">
      <c r="C806" s="22"/>
      <c r="D806" s="22"/>
      <c r="E806" s="22"/>
      <c r="F806" s="22"/>
      <c r="G806" s="22"/>
      <c r="H806" s="22"/>
      <c r="I806" s="22"/>
      <c r="J806" s="22"/>
    </row>
    <row r="807">
      <c r="C807" s="22"/>
      <c r="D807" s="22"/>
      <c r="E807" s="22"/>
      <c r="F807" s="22"/>
      <c r="G807" s="22"/>
      <c r="H807" s="22"/>
      <c r="I807" s="22"/>
      <c r="J807" s="22"/>
    </row>
    <row r="808">
      <c r="C808" s="22"/>
      <c r="D808" s="22"/>
      <c r="E808" s="22"/>
      <c r="F808" s="22"/>
      <c r="G808" s="22"/>
      <c r="H808" s="22"/>
      <c r="I808" s="22"/>
      <c r="J808" s="22"/>
    </row>
    <row r="809">
      <c r="C809" s="22"/>
      <c r="D809" s="22"/>
      <c r="E809" s="22"/>
      <c r="F809" s="22"/>
      <c r="G809" s="22"/>
      <c r="H809" s="22"/>
      <c r="I809" s="22"/>
      <c r="J809" s="22"/>
    </row>
    <row r="810">
      <c r="C810" s="22"/>
      <c r="D810" s="22"/>
      <c r="E810" s="22"/>
      <c r="F810" s="22"/>
      <c r="G810" s="22"/>
      <c r="H810" s="22"/>
      <c r="I810" s="22"/>
      <c r="J810" s="22"/>
    </row>
    <row r="811">
      <c r="C811" s="22"/>
      <c r="D811" s="22"/>
      <c r="E811" s="22"/>
      <c r="F811" s="22"/>
      <c r="G811" s="22"/>
      <c r="H811" s="22"/>
      <c r="I811" s="22"/>
      <c r="J811" s="22"/>
    </row>
    <row r="812">
      <c r="C812" s="22"/>
      <c r="D812" s="22"/>
      <c r="E812" s="22"/>
      <c r="F812" s="22"/>
      <c r="G812" s="22"/>
      <c r="H812" s="22"/>
      <c r="I812" s="22"/>
      <c r="J812" s="22"/>
    </row>
    <row r="813">
      <c r="C813" s="22"/>
      <c r="D813" s="22"/>
      <c r="E813" s="22"/>
      <c r="F813" s="22"/>
      <c r="G813" s="22"/>
      <c r="H813" s="22"/>
      <c r="I813" s="22"/>
      <c r="J813" s="22"/>
    </row>
    <row r="814">
      <c r="C814" s="22"/>
      <c r="D814" s="22"/>
      <c r="E814" s="22"/>
      <c r="F814" s="22"/>
      <c r="G814" s="22"/>
      <c r="H814" s="22"/>
      <c r="I814" s="22"/>
      <c r="J814" s="22"/>
    </row>
    <row r="815">
      <c r="C815" s="22"/>
      <c r="D815" s="22"/>
      <c r="E815" s="22"/>
      <c r="F815" s="22"/>
      <c r="G815" s="22"/>
      <c r="H815" s="22"/>
      <c r="I815" s="22"/>
      <c r="J815" s="22"/>
    </row>
    <row r="816">
      <c r="C816" s="22"/>
      <c r="D816" s="22"/>
      <c r="E816" s="22"/>
      <c r="F816" s="22"/>
      <c r="G816" s="22"/>
      <c r="H816" s="22"/>
      <c r="I816" s="22"/>
      <c r="J816" s="22"/>
    </row>
    <row r="817">
      <c r="C817" s="22"/>
      <c r="D817" s="22"/>
      <c r="E817" s="22"/>
      <c r="F817" s="22"/>
      <c r="G817" s="22"/>
      <c r="H817" s="22"/>
      <c r="I817" s="22"/>
      <c r="J817" s="22"/>
    </row>
    <row r="818">
      <c r="C818" s="22"/>
      <c r="D818" s="22"/>
      <c r="E818" s="22"/>
      <c r="F818" s="22"/>
      <c r="G818" s="22"/>
      <c r="H818" s="22"/>
      <c r="I818" s="22"/>
      <c r="J818" s="22"/>
    </row>
    <row r="819">
      <c r="C819" s="22"/>
      <c r="D819" s="22"/>
      <c r="E819" s="22"/>
      <c r="F819" s="22"/>
      <c r="G819" s="22"/>
      <c r="H819" s="22"/>
      <c r="I819" s="22"/>
      <c r="J819" s="22"/>
    </row>
    <row r="820">
      <c r="C820" s="22"/>
      <c r="D820" s="22"/>
      <c r="E820" s="22"/>
      <c r="F820" s="22"/>
      <c r="G820" s="22"/>
      <c r="H820" s="22"/>
      <c r="I820" s="22"/>
      <c r="J820" s="22"/>
    </row>
    <row r="821">
      <c r="C821" s="22"/>
      <c r="D821" s="22"/>
      <c r="E821" s="22"/>
      <c r="F821" s="22"/>
      <c r="G821" s="22"/>
      <c r="H821" s="22"/>
      <c r="I821" s="22"/>
      <c r="J821" s="22"/>
    </row>
    <row r="822">
      <c r="C822" s="22"/>
      <c r="D822" s="22"/>
      <c r="E822" s="22"/>
      <c r="F822" s="22"/>
      <c r="G822" s="22"/>
      <c r="H822" s="22"/>
      <c r="I822" s="22"/>
      <c r="J822" s="22"/>
    </row>
    <row r="823">
      <c r="C823" s="22"/>
      <c r="D823" s="22"/>
      <c r="E823" s="22"/>
      <c r="F823" s="22"/>
      <c r="G823" s="22"/>
      <c r="H823" s="22"/>
      <c r="I823" s="22"/>
      <c r="J823" s="22"/>
    </row>
    <row r="824">
      <c r="C824" s="22"/>
      <c r="D824" s="22"/>
      <c r="E824" s="22"/>
      <c r="F824" s="22"/>
      <c r="G824" s="22"/>
      <c r="H824" s="22"/>
      <c r="I824" s="22"/>
      <c r="J824" s="22"/>
    </row>
    <row r="825">
      <c r="C825" s="22"/>
      <c r="D825" s="22"/>
      <c r="E825" s="22"/>
      <c r="F825" s="22"/>
      <c r="G825" s="22"/>
      <c r="H825" s="22"/>
      <c r="I825" s="22"/>
      <c r="J825" s="22"/>
    </row>
    <row r="826">
      <c r="C826" s="22"/>
      <c r="D826" s="22"/>
      <c r="E826" s="22"/>
      <c r="F826" s="22"/>
      <c r="G826" s="22"/>
      <c r="H826" s="22"/>
      <c r="I826" s="22"/>
      <c r="J826" s="22"/>
    </row>
    <row r="827">
      <c r="C827" s="22"/>
      <c r="D827" s="22"/>
      <c r="E827" s="22"/>
      <c r="F827" s="22"/>
      <c r="G827" s="22"/>
      <c r="H827" s="22"/>
      <c r="I827" s="22"/>
      <c r="J827" s="22"/>
    </row>
    <row r="828">
      <c r="C828" s="22"/>
      <c r="D828" s="22"/>
      <c r="E828" s="22"/>
      <c r="F828" s="22"/>
      <c r="G828" s="22"/>
      <c r="H828" s="22"/>
      <c r="I828" s="22"/>
      <c r="J828" s="22"/>
    </row>
    <row r="829">
      <c r="C829" s="22"/>
      <c r="D829" s="22"/>
      <c r="E829" s="22"/>
      <c r="F829" s="22"/>
      <c r="G829" s="22"/>
      <c r="H829" s="22"/>
      <c r="I829" s="22"/>
      <c r="J829" s="22"/>
    </row>
    <row r="830">
      <c r="C830" s="22"/>
      <c r="D830" s="22"/>
      <c r="E830" s="22"/>
      <c r="F830" s="22"/>
      <c r="G830" s="22"/>
      <c r="H830" s="22"/>
      <c r="I830" s="22"/>
      <c r="J830" s="22"/>
    </row>
    <row r="831">
      <c r="C831" s="22"/>
      <c r="D831" s="22"/>
      <c r="E831" s="22"/>
      <c r="F831" s="22"/>
      <c r="G831" s="22"/>
      <c r="H831" s="22"/>
      <c r="I831" s="22"/>
      <c r="J831" s="22"/>
    </row>
    <row r="832">
      <c r="C832" s="22"/>
      <c r="D832" s="22"/>
      <c r="E832" s="22"/>
      <c r="F832" s="22"/>
      <c r="G832" s="22"/>
      <c r="H832" s="22"/>
      <c r="I832" s="22"/>
      <c r="J832" s="22"/>
    </row>
    <row r="833">
      <c r="C833" s="22"/>
      <c r="D833" s="22"/>
      <c r="E833" s="22"/>
      <c r="F833" s="22"/>
      <c r="G833" s="22"/>
      <c r="H833" s="22"/>
      <c r="I833" s="22"/>
      <c r="J833" s="22"/>
    </row>
    <row r="834">
      <c r="C834" s="22"/>
      <c r="D834" s="22"/>
      <c r="E834" s="22"/>
      <c r="F834" s="22"/>
      <c r="G834" s="22"/>
      <c r="H834" s="22"/>
      <c r="I834" s="22"/>
      <c r="J834" s="22"/>
    </row>
    <row r="835">
      <c r="C835" s="22"/>
      <c r="D835" s="22"/>
      <c r="E835" s="22"/>
      <c r="F835" s="22"/>
      <c r="G835" s="22"/>
      <c r="H835" s="22"/>
      <c r="I835" s="22"/>
      <c r="J835" s="22"/>
    </row>
    <row r="836">
      <c r="C836" s="22"/>
      <c r="D836" s="22"/>
      <c r="E836" s="22"/>
      <c r="F836" s="22"/>
      <c r="G836" s="22"/>
      <c r="H836" s="22"/>
      <c r="I836" s="22"/>
      <c r="J836" s="22"/>
    </row>
    <row r="837">
      <c r="C837" s="22"/>
      <c r="D837" s="22"/>
      <c r="E837" s="22"/>
      <c r="F837" s="22"/>
      <c r="G837" s="22"/>
      <c r="H837" s="22"/>
      <c r="I837" s="22"/>
      <c r="J837" s="22"/>
    </row>
    <row r="838">
      <c r="C838" s="22"/>
      <c r="D838" s="22"/>
      <c r="E838" s="22"/>
      <c r="F838" s="22"/>
      <c r="G838" s="22"/>
      <c r="H838" s="22"/>
      <c r="I838" s="22"/>
      <c r="J838" s="22"/>
    </row>
    <row r="839">
      <c r="C839" s="22"/>
      <c r="D839" s="22"/>
      <c r="E839" s="22"/>
      <c r="F839" s="22"/>
      <c r="G839" s="22"/>
      <c r="H839" s="22"/>
      <c r="I839" s="22"/>
      <c r="J839" s="22"/>
    </row>
    <row r="840">
      <c r="C840" s="22"/>
      <c r="D840" s="22"/>
      <c r="E840" s="22"/>
      <c r="F840" s="22"/>
      <c r="G840" s="22"/>
      <c r="H840" s="22"/>
      <c r="I840" s="22"/>
      <c r="J840" s="22"/>
    </row>
    <row r="841">
      <c r="C841" s="22"/>
      <c r="D841" s="22"/>
      <c r="E841" s="22"/>
      <c r="F841" s="22"/>
      <c r="G841" s="22"/>
      <c r="H841" s="22"/>
      <c r="I841" s="22"/>
      <c r="J841" s="22"/>
    </row>
    <row r="842">
      <c r="C842" s="22"/>
      <c r="D842" s="22"/>
      <c r="E842" s="22"/>
      <c r="F842" s="22"/>
      <c r="G842" s="22"/>
      <c r="H842" s="22"/>
      <c r="I842" s="22"/>
      <c r="J842" s="22"/>
    </row>
    <row r="843">
      <c r="C843" s="22"/>
      <c r="D843" s="22"/>
      <c r="E843" s="22"/>
      <c r="F843" s="22"/>
      <c r="G843" s="22"/>
      <c r="H843" s="22"/>
      <c r="I843" s="22"/>
      <c r="J843" s="22"/>
    </row>
    <row r="844">
      <c r="C844" s="22"/>
      <c r="D844" s="22"/>
      <c r="E844" s="22"/>
      <c r="F844" s="22"/>
      <c r="G844" s="22"/>
      <c r="H844" s="22"/>
      <c r="I844" s="22"/>
      <c r="J844" s="22"/>
    </row>
    <row r="845">
      <c r="C845" s="22"/>
      <c r="D845" s="22"/>
      <c r="E845" s="22"/>
      <c r="F845" s="22"/>
      <c r="G845" s="22"/>
      <c r="H845" s="22"/>
      <c r="I845" s="22"/>
      <c r="J845" s="22"/>
    </row>
    <row r="846">
      <c r="C846" s="22"/>
      <c r="D846" s="22"/>
      <c r="E846" s="22"/>
      <c r="F846" s="22"/>
      <c r="G846" s="22"/>
      <c r="H846" s="22"/>
      <c r="I846" s="22"/>
      <c r="J846" s="22"/>
    </row>
    <row r="847">
      <c r="C847" s="22"/>
      <c r="D847" s="22"/>
      <c r="E847" s="22"/>
      <c r="F847" s="22"/>
      <c r="G847" s="22"/>
      <c r="H847" s="22"/>
      <c r="I847" s="22"/>
      <c r="J847" s="22"/>
    </row>
    <row r="848">
      <c r="C848" s="22"/>
      <c r="D848" s="22"/>
      <c r="E848" s="22"/>
      <c r="F848" s="22"/>
      <c r="G848" s="22"/>
      <c r="H848" s="22"/>
      <c r="I848" s="22"/>
      <c r="J848" s="22"/>
    </row>
    <row r="849">
      <c r="C849" s="22"/>
      <c r="D849" s="22"/>
      <c r="E849" s="22"/>
      <c r="F849" s="22"/>
      <c r="G849" s="22"/>
      <c r="H849" s="22"/>
      <c r="I849" s="22"/>
      <c r="J849" s="22"/>
    </row>
    <row r="850">
      <c r="C850" s="22"/>
      <c r="D850" s="22"/>
      <c r="E850" s="22"/>
      <c r="F850" s="22"/>
      <c r="G850" s="22"/>
      <c r="H850" s="22"/>
      <c r="I850" s="22"/>
      <c r="J850" s="22"/>
    </row>
    <row r="851">
      <c r="C851" s="22"/>
      <c r="D851" s="22"/>
      <c r="E851" s="22"/>
      <c r="F851" s="22"/>
      <c r="G851" s="22"/>
      <c r="H851" s="22"/>
      <c r="I851" s="22"/>
      <c r="J851" s="22"/>
    </row>
    <row r="852">
      <c r="C852" s="22"/>
      <c r="D852" s="22"/>
      <c r="E852" s="22"/>
      <c r="F852" s="22"/>
      <c r="G852" s="22"/>
      <c r="H852" s="22"/>
      <c r="I852" s="22"/>
      <c r="J852" s="22"/>
    </row>
    <row r="853">
      <c r="C853" s="22"/>
      <c r="D853" s="22"/>
      <c r="E853" s="22"/>
      <c r="F853" s="22"/>
      <c r="G853" s="22"/>
      <c r="H853" s="22"/>
      <c r="I853" s="22"/>
      <c r="J853" s="22"/>
    </row>
    <row r="854">
      <c r="C854" s="22"/>
      <c r="D854" s="22"/>
      <c r="E854" s="22"/>
      <c r="F854" s="22"/>
      <c r="G854" s="22"/>
      <c r="H854" s="22"/>
      <c r="I854" s="22"/>
      <c r="J854" s="22"/>
    </row>
    <row r="855">
      <c r="C855" s="22"/>
      <c r="D855" s="22"/>
      <c r="E855" s="22"/>
      <c r="F855" s="22"/>
      <c r="G855" s="22"/>
      <c r="H855" s="22"/>
      <c r="I855" s="22"/>
      <c r="J855" s="22"/>
    </row>
    <row r="856">
      <c r="C856" s="22"/>
      <c r="D856" s="22"/>
      <c r="E856" s="22"/>
      <c r="F856" s="22"/>
      <c r="G856" s="22"/>
      <c r="H856" s="22"/>
      <c r="I856" s="22"/>
      <c r="J856" s="22"/>
    </row>
    <row r="857">
      <c r="C857" s="22"/>
      <c r="D857" s="22"/>
      <c r="E857" s="22"/>
      <c r="F857" s="22"/>
      <c r="G857" s="22"/>
      <c r="H857" s="22"/>
      <c r="I857" s="22"/>
      <c r="J857" s="22"/>
    </row>
    <row r="858">
      <c r="C858" s="22"/>
      <c r="D858" s="22"/>
      <c r="E858" s="22"/>
      <c r="F858" s="22"/>
      <c r="G858" s="22"/>
      <c r="H858" s="22"/>
      <c r="I858" s="22"/>
      <c r="J858" s="22"/>
    </row>
    <row r="859">
      <c r="C859" s="22"/>
      <c r="D859" s="22"/>
      <c r="E859" s="22"/>
      <c r="F859" s="22"/>
      <c r="G859" s="22"/>
      <c r="H859" s="22"/>
      <c r="I859" s="22"/>
      <c r="J859" s="22"/>
    </row>
    <row r="860">
      <c r="C860" s="22"/>
      <c r="D860" s="22"/>
      <c r="E860" s="22"/>
      <c r="F860" s="22"/>
      <c r="G860" s="22"/>
      <c r="H860" s="22"/>
      <c r="I860" s="22"/>
      <c r="J860" s="22"/>
    </row>
    <row r="861">
      <c r="C861" s="22"/>
      <c r="D861" s="22"/>
      <c r="E861" s="22"/>
      <c r="F861" s="22"/>
      <c r="G861" s="22"/>
      <c r="H861" s="22"/>
      <c r="I861" s="22"/>
      <c r="J861" s="22"/>
    </row>
    <row r="862">
      <c r="C862" s="22"/>
      <c r="D862" s="22"/>
      <c r="E862" s="22"/>
      <c r="F862" s="22"/>
      <c r="G862" s="22"/>
      <c r="H862" s="22"/>
      <c r="I862" s="22"/>
      <c r="J862" s="22"/>
    </row>
    <row r="863">
      <c r="C863" s="22"/>
      <c r="D863" s="22"/>
      <c r="E863" s="22"/>
      <c r="F863" s="22"/>
      <c r="G863" s="22"/>
      <c r="H863" s="22"/>
      <c r="I863" s="22"/>
      <c r="J863" s="22"/>
    </row>
    <row r="864">
      <c r="C864" s="22"/>
      <c r="D864" s="22"/>
      <c r="E864" s="22"/>
      <c r="F864" s="22"/>
      <c r="G864" s="22"/>
      <c r="H864" s="22"/>
      <c r="I864" s="22"/>
      <c r="J864" s="22"/>
    </row>
    <row r="865">
      <c r="C865" s="22"/>
      <c r="D865" s="22"/>
      <c r="E865" s="22"/>
      <c r="F865" s="22"/>
      <c r="G865" s="22"/>
      <c r="H865" s="22"/>
      <c r="I865" s="22"/>
      <c r="J865" s="22"/>
    </row>
    <row r="866">
      <c r="C866" s="22"/>
      <c r="D866" s="22"/>
      <c r="E866" s="22"/>
      <c r="F866" s="22"/>
      <c r="G866" s="22"/>
      <c r="H866" s="22"/>
      <c r="I866" s="22"/>
      <c r="J866" s="22"/>
    </row>
    <row r="867">
      <c r="C867" s="22"/>
      <c r="D867" s="22"/>
      <c r="E867" s="22"/>
      <c r="F867" s="22"/>
      <c r="G867" s="22"/>
      <c r="H867" s="22"/>
      <c r="I867" s="22"/>
      <c r="J867" s="22"/>
    </row>
    <row r="868">
      <c r="C868" s="22"/>
      <c r="D868" s="22"/>
      <c r="E868" s="22"/>
      <c r="F868" s="22"/>
      <c r="G868" s="22"/>
      <c r="H868" s="22"/>
      <c r="I868" s="22"/>
      <c r="J868" s="22"/>
    </row>
    <row r="869">
      <c r="C869" s="22"/>
      <c r="D869" s="22"/>
      <c r="E869" s="22"/>
      <c r="F869" s="22"/>
      <c r="G869" s="22"/>
      <c r="H869" s="22"/>
      <c r="I869" s="22"/>
      <c r="J869" s="22"/>
    </row>
    <row r="870">
      <c r="C870" s="22"/>
      <c r="D870" s="22"/>
      <c r="E870" s="22"/>
      <c r="F870" s="22"/>
      <c r="G870" s="22"/>
      <c r="H870" s="22"/>
      <c r="I870" s="22"/>
      <c r="J870" s="22"/>
    </row>
    <row r="871">
      <c r="C871" s="22"/>
      <c r="D871" s="22"/>
      <c r="E871" s="22"/>
      <c r="F871" s="22"/>
      <c r="G871" s="22"/>
      <c r="H871" s="22"/>
      <c r="I871" s="22"/>
      <c r="J871" s="22"/>
    </row>
    <row r="872">
      <c r="C872" s="22"/>
      <c r="D872" s="22"/>
      <c r="E872" s="22"/>
      <c r="F872" s="22"/>
      <c r="G872" s="22"/>
      <c r="H872" s="22"/>
      <c r="I872" s="22"/>
      <c r="J872" s="22"/>
    </row>
    <row r="873">
      <c r="C873" s="22"/>
      <c r="D873" s="22"/>
      <c r="E873" s="22"/>
      <c r="F873" s="22"/>
      <c r="G873" s="22"/>
      <c r="H873" s="22"/>
      <c r="I873" s="22"/>
      <c r="J873" s="22"/>
    </row>
    <row r="874">
      <c r="C874" s="22"/>
      <c r="D874" s="22"/>
      <c r="E874" s="22"/>
      <c r="F874" s="22"/>
      <c r="G874" s="22"/>
      <c r="H874" s="22"/>
      <c r="I874" s="22"/>
      <c r="J874" s="22"/>
    </row>
    <row r="875">
      <c r="C875" s="22"/>
      <c r="D875" s="22"/>
      <c r="E875" s="22"/>
      <c r="F875" s="22"/>
      <c r="G875" s="22"/>
      <c r="H875" s="22"/>
      <c r="I875" s="22"/>
      <c r="J875" s="22"/>
    </row>
    <row r="876">
      <c r="C876" s="22"/>
      <c r="D876" s="22"/>
      <c r="E876" s="22"/>
      <c r="F876" s="22"/>
      <c r="G876" s="22"/>
      <c r="H876" s="22"/>
      <c r="I876" s="22"/>
      <c r="J876" s="22"/>
    </row>
    <row r="877">
      <c r="C877" s="22"/>
      <c r="D877" s="22"/>
      <c r="E877" s="22"/>
      <c r="F877" s="22"/>
      <c r="G877" s="22"/>
      <c r="H877" s="22"/>
      <c r="I877" s="22"/>
      <c r="J877" s="22"/>
    </row>
    <row r="878">
      <c r="C878" s="22"/>
      <c r="D878" s="22"/>
      <c r="E878" s="22"/>
      <c r="F878" s="22"/>
      <c r="G878" s="22"/>
      <c r="H878" s="22"/>
      <c r="I878" s="22"/>
      <c r="J878" s="22"/>
    </row>
    <row r="879">
      <c r="C879" s="22"/>
      <c r="D879" s="22"/>
      <c r="E879" s="22"/>
      <c r="F879" s="22"/>
      <c r="G879" s="22"/>
      <c r="H879" s="22"/>
      <c r="I879" s="22"/>
      <c r="J879" s="22"/>
    </row>
    <row r="880">
      <c r="C880" s="22"/>
      <c r="D880" s="22"/>
      <c r="E880" s="22"/>
      <c r="F880" s="22"/>
      <c r="G880" s="22"/>
      <c r="H880" s="22"/>
      <c r="I880" s="22"/>
      <c r="J880" s="22"/>
    </row>
    <row r="881">
      <c r="C881" s="22"/>
      <c r="D881" s="22"/>
      <c r="E881" s="22"/>
      <c r="F881" s="22"/>
      <c r="G881" s="22"/>
      <c r="H881" s="22"/>
      <c r="I881" s="22"/>
      <c r="J881" s="22"/>
    </row>
    <row r="882">
      <c r="C882" s="22"/>
      <c r="D882" s="22"/>
      <c r="E882" s="22"/>
      <c r="F882" s="22"/>
      <c r="G882" s="22"/>
      <c r="H882" s="22"/>
      <c r="I882" s="22"/>
      <c r="J882" s="22"/>
    </row>
    <row r="883">
      <c r="C883" s="22"/>
      <c r="D883" s="22"/>
      <c r="E883" s="22"/>
      <c r="F883" s="22"/>
      <c r="G883" s="22"/>
      <c r="H883" s="22"/>
      <c r="I883" s="22"/>
      <c r="J883" s="22"/>
    </row>
    <row r="884">
      <c r="C884" s="22"/>
      <c r="D884" s="22"/>
      <c r="E884" s="22"/>
      <c r="F884" s="22"/>
      <c r="G884" s="22"/>
      <c r="H884" s="22"/>
      <c r="I884" s="22"/>
      <c r="J884" s="22"/>
    </row>
    <row r="885">
      <c r="C885" s="22"/>
      <c r="D885" s="22"/>
      <c r="E885" s="22"/>
      <c r="F885" s="22"/>
      <c r="G885" s="22"/>
      <c r="H885" s="22"/>
      <c r="I885" s="22"/>
      <c r="J885" s="22"/>
    </row>
    <row r="886">
      <c r="C886" s="22"/>
      <c r="D886" s="22"/>
      <c r="E886" s="22"/>
      <c r="F886" s="22"/>
      <c r="G886" s="22"/>
      <c r="H886" s="22"/>
      <c r="I886" s="22"/>
      <c r="J886" s="22"/>
    </row>
    <row r="887">
      <c r="C887" s="22"/>
      <c r="D887" s="22"/>
      <c r="E887" s="22"/>
      <c r="F887" s="22"/>
      <c r="G887" s="22"/>
      <c r="H887" s="22"/>
      <c r="I887" s="22"/>
      <c r="J887" s="22"/>
    </row>
    <row r="888">
      <c r="C888" s="22"/>
      <c r="D888" s="22"/>
      <c r="E888" s="22"/>
      <c r="F888" s="22"/>
      <c r="G888" s="22"/>
      <c r="H888" s="22"/>
      <c r="I888" s="22"/>
      <c r="J888" s="22"/>
    </row>
    <row r="889">
      <c r="C889" s="22"/>
      <c r="D889" s="22"/>
      <c r="E889" s="22"/>
      <c r="F889" s="22"/>
      <c r="G889" s="22"/>
      <c r="H889" s="22"/>
      <c r="I889" s="22"/>
      <c r="J889" s="22"/>
    </row>
    <row r="890">
      <c r="C890" s="22"/>
      <c r="D890" s="22"/>
      <c r="E890" s="22"/>
      <c r="F890" s="22"/>
      <c r="G890" s="22"/>
      <c r="H890" s="22"/>
      <c r="I890" s="22"/>
      <c r="J890" s="22"/>
    </row>
    <row r="891">
      <c r="C891" s="22"/>
      <c r="D891" s="22"/>
      <c r="E891" s="22"/>
      <c r="F891" s="22"/>
      <c r="G891" s="22"/>
      <c r="H891" s="22"/>
      <c r="I891" s="22"/>
      <c r="J891" s="22"/>
    </row>
    <row r="892">
      <c r="C892" s="22"/>
      <c r="D892" s="22"/>
      <c r="E892" s="22"/>
      <c r="F892" s="22"/>
      <c r="G892" s="22"/>
      <c r="H892" s="22"/>
      <c r="I892" s="22"/>
      <c r="J892" s="22"/>
    </row>
    <row r="893">
      <c r="C893" s="22"/>
      <c r="D893" s="22"/>
      <c r="E893" s="22"/>
      <c r="F893" s="22"/>
      <c r="G893" s="22"/>
      <c r="H893" s="22"/>
      <c r="I893" s="22"/>
      <c r="J893" s="22"/>
    </row>
    <row r="894">
      <c r="C894" s="22"/>
      <c r="D894" s="22"/>
      <c r="E894" s="22"/>
      <c r="F894" s="22"/>
      <c r="G894" s="22"/>
      <c r="H894" s="22"/>
      <c r="I894" s="22"/>
      <c r="J894" s="22"/>
    </row>
    <row r="895">
      <c r="C895" s="22"/>
      <c r="D895" s="22"/>
      <c r="E895" s="22"/>
      <c r="F895" s="22"/>
      <c r="G895" s="22"/>
      <c r="H895" s="22"/>
      <c r="I895" s="22"/>
      <c r="J895" s="22"/>
    </row>
    <row r="896">
      <c r="C896" s="22"/>
      <c r="D896" s="22"/>
      <c r="E896" s="22"/>
      <c r="F896" s="22"/>
      <c r="G896" s="22"/>
      <c r="H896" s="22"/>
      <c r="I896" s="22"/>
      <c r="J896" s="22"/>
    </row>
    <row r="897">
      <c r="C897" s="22"/>
      <c r="D897" s="22"/>
      <c r="E897" s="22"/>
      <c r="F897" s="22"/>
      <c r="G897" s="22"/>
      <c r="H897" s="22"/>
      <c r="I897" s="22"/>
      <c r="J897" s="22"/>
    </row>
    <row r="898">
      <c r="C898" s="22"/>
      <c r="D898" s="22"/>
      <c r="E898" s="22"/>
      <c r="F898" s="22"/>
      <c r="G898" s="22"/>
      <c r="H898" s="22"/>
      <c r="I898" s="22"/>
      <c r="J898" s="22"/>
    </row>
    <row r="899">
      <c r="C899" s="22"/>
      <c r="D899" s="22"/>
      <c r="E899" s="22"/>
      <c r="F899" s="22"/>
      <c r="G899" s="22"/>
      <c r="H899" s="22"/>
      <c r="I899" s="22"/>
      <c r="J899" s="22"/>
    </row>
    <row r="900">
      <c r="C900" s="22"/>
      <c r="D900" s="22"/>
      <c r="E900" s="22"/>
      <c r="F900" s="22"/>
      <c r="G900" s="22"/>
      <c r="H900" s="22"/>
      <c r="I900" s="22"/>
      <c r="J900" s="22"/>
    </row>
    <row r="901">
      <c r="C901" s="22"/>
      <c r="D901" s="22"/>
      <c r="E901" s="22"/>
      <c r="F901" s="22"/>
      <c r="G901" s="22"/>
      <c r="H901" s="22"/>
      <c r="I901" s="22"/>
      <c r="J901" s="22"/>
    </row>
    <row r="902">
      <c r="C902" s="22"/>
      <c r="D902" s="22"/>
      <c r="E902" s="22"/>
      <c r="F902" s="22"/>
      <c r="G902" s="22"/>
      <c r="H902" s="22"/>
      <c r="I902" s="22"/>
      <c r="J902" s="22"/>
    </row>
    <row r="903">
      <c r="C903" s="22"/>
      <c r="D903" s="22"/>
      <c r="E903" s="22"/>
      <c r="F903" s="22"/>
      <c r="G903" s="22"/>
      <c r="H903" s="22"/>
      <c r="I903" s="22"/>
      <c r="J903" s="22"/>
    </row>
    <row r="904">
      <c r="C904" s="22"/>
      <c r="D904" s="22"/>
      <c r="E904" s="22"/>
      <c r="F904" s="22"/>
      <c r="G904" s="22"/>
      <c r="H904" s="22"/>
      <c r="I904" s="22"/>
      <c r="J904" s="22"/>
    </row>
    <row r="905">
      <c r="C905" s="22"/>
      <c r="D905" s="22"/>
      <c r="E905" s="22"/>
      <c r="F905" s="22"/>
      <c r="G905" s="22"/>
      <c r="H905" s="22"/>
      <c r="I905" s="22"/>
      <c r="J905" s="22"/>
    </row>
    <row r="906">
      <c r="C906" s="22"/>
      <c r="D906" s="22"/>
      <c r="E906" s="22"/>
      <c r="F906" s="22"/>
      <c r="G906" s="22"/>
      <c r="H906" s="22"/>
      <c r="I906" s="22"/>
      <c r="J906" s="22"/>
    </row>
    <row r="907">
      <c r="C907" s="22"/>
      <c r="D907" s="22"/>
      <c r="E907" s="22"/>
      <c r="F907" s="22"/>
      <c r="G907" s="22"/>
      <c r="H907" s="22"/>
      <c r="I907" s="22"/>
      <c r="J907" s="22"/>
    </row>
    <row r="908">
      <c r="C908" s="22"/>
      <c r="D908" s="22"/>
      <c r="E908" s="22"/>
      <c r="F908" s="22"/>
      <c r="G908" s="22"/>
      <c r="H908" s="22"/>
      <c r="I908" s="22"/>
      <c r="J908" s="22"/>
    </row>
    <row r="909">
      <c r="C909" s="22"/>
      <c r="D909" s="22"/>
      <c r="E909" s="22"/>
      <c r="F909" s="22"/>
      <c r="G909" s="22"/>
      <c r="H909" s="22"/>
      <c r="I909" s="22"/>
      <c r="J909" s="22"/>
    </row>
    <row r="910">
      <c r="C910" s="22"/>
      <c r="D910" s="22"/>
      <c r="E910" s="22"/>
      <c r="F910" s="22"/>
      <c r="G910" s="22"/>
      <c r="H910" s="22"/>
      <c r="I910" s="22"/>
      <c r="J910" s="22"/>
    </row>
    <row r="911">
      <c r="C911" s="22"/>
      <c r="D911" s="22"/>
      <c r="E911" s="22"/>
      <c r="F911" s="22"/>
      <c r="G911" s="22"/>
      <c r="H911" s="22"/>
      <c r="I911" s="22"/>
      <c r="J911" s="22"/>
    </row>
    <row r="912">
      <c r="C912" s="22"/>
      <c r="D912" s="22"/>
      <c r="E912" s="22"/>
      <c r="F912" s="22"/>
      <c r="G912" s="22"/>
      <c r="H912" s="22"/>
      <c r="I912" s="22"/>
      <c r="J912" s="22"/>
    </row>
    <row r="913">
      <c r="C913" s="22"/>
      <c r="D913" s="22"/>
      <c r="E913" s="22"/>
      <c r="F913" s="22"/>
      <c r="G913" s="22"/>
      <c r="H913" s="22"/>
      <c r="I913" s="22"/>
      <c r="J913" s="22"/>
    </row>
    <row r="914">
      <c r="C914" s="22"/>
      <c r="D914" s="22"/>
      <c r="E914" s="22"/>
      <c r="F914" s="22"/>
      <c r="G914" s="22"/>
      <c r="H914" s="22"/>
      <c r="I914" s="22"/>
      <c r="J914" s="22"/>
    </row>
    <row r="915">
      <c r="C915" s="22"/>
      <c r="D915" s="22"/>
      <c r="E915" s="22"/>
      <c r="F915" s="22"/>
      <c r="G915" s="22"/>
      <c r="H915" s="22"/>
      <c r="I915" s="22"/>
      <c r="J915" s="22"/>
    </row>
    <row r="916">
      <c r="C916" s="22"/>
      <c r="D916" s="22"/>
      <c r="E916" s="22"/>
      <c r="F916" s="22"/>
      <c r="G916" s="22"/>
      <c r="H916" s="22"/>
      <c r="I916" s="22"/>
      <c r="J916" s="22"/>
    </row>
    <row r="917">
      <c r="C917" s="22"/>
      <c r="D917" s="22"/>
      <c r="E917" s="22"/>
      <c r="F917" s="22"/>
      <c r="G917" s="22"/>
      <c r="H917" s="22"/>
      <c r="I917" s="22"/>
      <c r="J917" s="22"/>
    </row>
    <row r="918">
      <c r="C918" s="22"/>
      <c r="D918" s="22"/>
      <c r="E918" s="22"/>
      <c r="F918" s="22"/>
      <c r="G918" s="22"/>
      <c r="H918" s="22"/>
      <c r="I918" s="22"/>
      <c r="J918" s="22"/>
    </row>
    <row r="919">
      <c r="C919" s="22"/>
      <c r="D919" s="22"/>
      <c r="E919" s="22"/>
      <c r="F919" s="22"/>
      <c r="G919" s="22"/>
      <c r="H919" s="22"/>
      <c r="I919" s="22"/>
      <c r="J919" s="22"/>
    </row>
    <row r="920">
      <c r="C920" s="22"/>
      <c r="D920" s="22"/>
      <c r="E920" s="22"/>
      <c r="F920" s="22"/>
      <c r="G920" s="22"/>
      <c r="H920" s="22"/>
      <c r="I920" s="22"/>
      <c r="J920" s="22"/>
    </row>
    <row r="921">
      <c r="C921" s="22"/>
      <c r="D921" s="22"/>
      <c r="E921" s="22"/>
      <c r="F921" s="22"/>
      <c r="G921" s="22"/>
      <c r="H921" s="22"/>
      <c r="I921" s="22"/>
      <c r="J921" s="22"/>
    </row>
    <row r="922">
      <c r="C922" s="22"/>
      <c r="D922" s="22"/>
      <c r="E922" s="22"/>
      <c r="F922" s="22"/>
      <c r="G922" s="22"/>
      <c r="H922" s="22"/>
      <c r="I922" s="22"/>
      <c r="J922" s="22"/>
    </row>
    <row r="923">
      <c r="C923" s="22"/>
      <c r="D923" s="22"/>
      <c r="E923" s="22"/>
      <c r="F923" s="22"/>
      <c r="G923" s="22"/>
      <c r="H923" s="22"/>
      <c r="I923" s="22"/>
      <c r="J923" s="22"/>
    </row>
    <row r="924">
      <c r="C924" s="22"/>
      <c r="D924" s="22"/>
      <c r="E924" s="22"/>
      <c r="F924" s="22"/>
      <c r="G924" s="22"/>
      <c r="H924" s="22"/>
      <c r="I924" s="22"/>
      <c r="J924" s="22"/>
    </row>
    <row r="925">
      <c r="C925" s="22"/>
      <c r="D925" s="22"/>
      <c r="E925" s="22"/>
      <c r="F925" s="22"/>
      <c r="G925" s="22"/>
      <c r="H925" s="22"/>
      <c r="I925" s="22"/>
      <c r="J925" s="22"/>
    </row>
    <row r="926">
      <c r="C926" s="22"/>
      <c r="D926" s="22"/>
      <c r="E926" s="22"/>
      <c r="F926" s="22"/>
      <c r="G926" s="22"/>
      <c r="H926" s="22"/>
      <c r="I926" s="22"/>
      <c r="J926" s="22"/>
    </row>
    <row r="927">
      <c r="C927" s="22"/>
      <c r="D927" s="22"/>
      <c r="E927" s="22"/>
      <c r="F927" s="22"/>
      <c r="G927" s="22"/>
      <c r="H927" s="22"/>
      <c r="I927" s="22"/>
      <c r="J927" s="22"/>
    </row>
    <row r="928">
      <c r="C928" s="22"/>
      <c r="D928" s="22"/>
      <c r="E928" s="22"/>
      <c r="F928" s="22"/>
      <c r="G928" s="22"/>
      <c r="H928" s="22"/>
      <c r="I928" s="22"/>
      <c r="J928" s="22"/>
    </row>
    <row r="929">
      <c r="C929" s="22"/>
      <c r="D929" s="22"/>
      <c r="E929" s="22"/>
      <c r="F929" s="22"/>
      <c r="G929" s="22"/>
      <c r="H929" s="22"/>
      <c r="I929" s="22"/>
      <c r="J929" s="22"/>
    </row>
    <row r="930">
      <c r="C930" s="22"/>
      <c r="D930" s="22"/>
      <c r="E930" s="22"/>
      <c r="F930" s="22"/>
      <c r="G930" s="22"/>
      <c r="H930" s="22"/>
      <c r="I930" s="22"/>
      <c r="J930" s="22"/>
    </row>
    <row r="931">
      <c r="C931" s="22"/>
      <c r="D931" s="22"/>
      <c r="E931" s="22"/>
      <c r="F931" s="22"/>
      <c r="G931" s="22"/>
      <c r="H931" s="22"/>
      <c r="I931" s="22"/>
      <c r="J931" s="22"/>
    </row>
    <row r="932">
      <c r="C932" s="22"/>
      <c r="D932" s="22"/>
      <c r="E932" s="22"/>
      <c r="F932" s="22"/>
      <c r="G932" s="22"/>
      <c r="H932" s="22"/>
      <c r="I932" s="22"/>
      <c r="J932" s="22"/>
    </row>
    <row r="933">
      <c r="C933" s="22"/>
      <c r="D933" s="22"/>
      <c r="E933" s="22"/>
      <c r="F933" s="22"/>
      <c r="G933" s="22"/>
      <c r="H933" s="22"/>
      <c r="I933" s="22"/>
      <c r="J933" s="22"/>
    </row>
    <row r="934">
      <c r="C934" s="22"/>
      <c r="D934" s="22"/>
      <c r="E934" s="22"/>
      <c r="F934" s="22"/>
      <c r="G934" s="22"/>
      <c r="H934" s="22"/>
      <c r="I934" s="22"/>
      <c r="J934" s="22"/>
    </row>
    <row r="935">
      <c r="C935" s="22"/>
      <c r="D935" s="22"/>
      <c r="E935" s="22"/>
      <c r="F935" s="22"/>
      <c r="G935" s="22"/>
      <c r="H935" s="22"/>
      <c r="I935" s="22"/>
      <c r="J935" s="22"/>
    </row>
    <row r="936">
      <c r="C936" s="22"/>
      <c r="D936" s="22"/>
      <c r="E936" s="22"/>
      <c r="F936" s="22"/>
      <c r="G936" s="22"/>
      <c r="H936" s="22"/>
      <c r="I936" s="22"/>
      <c r="J936" s="22"/>
    </row>
    <row r="937">
      <c r="C937" s="22"/>
      <c r="D937" s="22"/>
      <c r="E937" s="22"/>
      <c r="F937" s="22"/>
      <c r="G937" s="22"/>
      <c r="H937" s="22"/>
      <c r="I937" s="22"/>
      <c r="J937" s="22"/>
    </row>
    <row r="938">
      <c r="C938" s="22"/>
      <c r="D938" s="22"/>
      <c r="E938" s="22"/>
      <c r="F938" s="22"/>
      <c r="G938" s="22"/>
      <c r="H938" s="22"/>
      <c r="I938" s="22"/>
      <c r="J938" s="22"/>
    </row>
    <row r="939">
      <c r="C939" s="22"/>
      <c r="D939" s="22"/>
      <c r="E939" s="22"/>
      <c r="F939" s="22"/>
      <c r="G939" s="22"/>
      <c r="H939" s="22"/>
      <c r="I939" s="22"/>
      <c r="J939" s="22"/>
    </row>
    <row r="940">
      <c r="C940" s="22"/>
      <c r="D940" s="22"/>
      <c r="E940" s="22"/>
      <c r="F940" s="22"/>
      <c r="G940" s="22"/>
      <c r="H940" s="22"/>
      <c r="I940" s="22"/>
      <c r="J940" s="22"/>
    </row>
    <row r="941">
      <c r="C941" s="22"/>
      <c r="D941" s="22"/>
      <c r="E941" s="22"/>
      <c r="F941" s="22"/>
      <c r="G941" s="22"/>
      <c r="H941" s="22"/>
      <c r="I941" s="22"/>
      <c r="J941" s="22"/>
    </row>
    <row r="942">
      <c r="C942" s="22"/>
      <c r="D942" s="22"/>
      <c r="E942" s="22"/>
      <c r="F942" s="22"/>
      <c r="G942" s="22"/>
      <c r="H942" s="22"/>
      <c r="I942" s="22"/>
      <c r="J942" s="22"/>
    </row>
    <row r="943">
      <c r="C943" s="22"/>
      <c r="D943" s="22"/>
      <c r="E943" s="22"/>
      <c r="F943" s="22"/>
      <c r="G943" s="22"/>
      <c r="H943" s="22"/>
      <c r="I943" s="22"/>
      <c r="J943" s="22"/>
    </row>
    <row r="944">
      <c r="C944" s="22"/>
      <c r="D944" s="22"/>
      <c r="E944" s="22"/>
      <c r="F944" s="22"/>
      <c r="G944" s="22"/>
      <c r="H944" s="22"/>
      <c r="I944" s="22"/>
      <c r="J944" s="22"/>
    </row>
    <row r="945">
      <c r="C945" s="22"/>
      <c r="D945" s="22"/>
      <c r="E945" s="22"/>
      <c r="F945" s="22"/>
      <c r="G945" s="22"/>
      <c r="H945" s="22"/>
      <c r="I945" s="22"/>
      <c r="J945" s="22"/>
    </row>
    <row r="946">
      <c r="C946" s="22"/>
      <c r="D946" s="22"/>
      <c r="E946" s="22"/>
      <c r="F946" s="22"/>
      <c r="G946" s="22"/>
      <c r="H946" s="22"/>
      <c r="I946" s="22"/>
      <c r="J946" s="22"/>
    </row>
    <row r="947">
      <c r="C947" s="22"/>
      <c r="D947" s="22"/>
      <c r="E947" s="22"/>
      <c r="F947" s="22"/>
      <c r="G947" s="22"/>
      <c r="H947" s="22"/>
      <c r="I947" s="22"/>
      <c r="J947" s="22"/>
    </row>
    <row r="948">
      <c r="C948" s="22"/>
      <c r="D948" s="22"/>
      <c r="E948" s="22"/>
      <c r="F948" s="22"/>
      <c r="G948" s="22"/>
      <c r="H948" s="22"/>
      <c r="I948" s="22"/>
      <c r="J948" s="22"/>
    </row>
    <row r="949">
      <c r="C949" s="22"/>
      <c r="D949" s="22"/>
      <c r="E949" s="22"/>
      <c r="F949" s="22"/>
      <c r="G949" s="22"/>
      <c r="H949" s="22"/>
      <c r="I949" s="22"/>
      <c r="J949" s="22"/>
    </row>
    <row r="950">
      <c r="C950" s="22"/>
      <c r="D950" s="22"/>
      <c r="E950" s="22"/>
      <c r="F950" s="22"/>
      <c r="G950" s="22"/>
      <c r="H950" s="22"/>
      <c r="I950" s="22"/>
      <c r="J950" s="22"/>
    </row>
    <row r="951">
      <c r="C951" s="22"/>
      <c r="D951" s="22"/>
      <c r="E951" s="22"/>
      <c r="F951" s="22"/>
      <c r="G951" s="22"/>
      <c r="H951" s="22"/>
      <c r="I951" s="22"/>
      <c r="J951" s="22"/>
    </row>
    <row r="952">
      <c r="C952" s="22"/>
      <c r="D952" s="22"/>
      <c r="E952" s="22"/>
      <c r="F952" s="22"/>
      <c r="G952" s="22"/>
      <c r="H952" s="22"/>
      <c r="I952" s="22"/>
      <c r="J952" s="22"/>
    </row>
    <row r="953">
      <c r="C953" s="22"/>
      <c r="D953" s="22"/>
      <c r="E953" s="22"/>
      <c r="F953" s="22"/>
      <c r="G953" s="22"/>
      <c r="H953" s="22"/>
      <c r="I953" s="22"/>
      <c r="J953" s="22"/>
    </row>
    <row r="954">
      <c r="C954" s="22"/>
      <c r="D954" s="22"/>
      <c r="E954" s="22"/>
      <c r="F954" s="22"/>
      <c r="G954" s="22"/>
      <c r="H954" s="22"/>
      <c r="I954" s="22"/>
      <c r="J954" s="22"/>
    </row>
    <row r="955">
      <c r="C955" s="22"/>
      <c r="D955" s="22"/>
      <c r="E955" s="22"/>
      <c r="F955" s="22"/>
      <c r="G955" s="22"/>
      <c r="H955" s="22"/>
      <c r="I955" s="22"/>
      <c r="J955" s="22"/>
    </row>
    <row r="956">
      <c r="C956" s="22"/>
      <c r="D956" s="22"/>
      <c r="E956" s="22"/>
      <c r="F956" s="22"/>
      <c r="G956" s="22"/>
      <c r="H956" s="22"/>
      <c r="I956" s="22"/>
      <c r="J956" s="22"/>
    </row>
    <row r="957">
      <c r="C957" s="22"/>
      <c r="D957" s="22"/>
      <c r="E957" s="22"/>
      <c r="F957" s="22"/>
      <c r="G957" s="22"/>
      <c r="H957" s="22"/>
      <c r="I957" s="22"/>
      <c r="J957" s="22"/>
    </row>
    <row r="958">
      <c r="C958" s="22"/>
      <c r="D958" s="22"/>
      <c r="E958" s="22"/>
      <c r="F958" s="22"/>
      <c r="G958" s="22"/>
      <c r="H958" s="22"/>
      <c r="I958" s="22"/>
      <c r="J958" s="22"/>
    </row>
    <row r="959">
      <c r="C959" s="22"/>
      <c r="D959" s="22"/>
      <c r="E959" s="22"/>
      <c r="F959" s="22"/>
      <c r="G959" s="22"/>
      <c r="H959" s="22"/>
      <c r="I959" s="22"/>
      <c r="J959" s="22"/>
    </row>
    <row r="960">
      <c r="C960" s="22"/>
      <c r="D960" s="22"/>
      <c r="E960" s="22"/>
      <c r="F960" s="22"/>
      <c r="G960" s="22"/>
      <c r="H960" s="22"/>
      <c r="I960" s="22"/>
      <c r="J960" s="22"/>
    </row>
    <row r="961">
      <c r="C961" s="22"/>
      <c r="D961" s="22"/>
      <c r="E961" s="22"/>
      <c r="F961" s="22"/>
      <c r="G961" s="22"/>
      <c r="H961" s="22"/>
      <c r="I961" s="22"/>
      <c r="J961" s="22"/>
    </row>
    <row r="962">
      <c r="C962" s="22"/>
      <c r="D962" s="22"/>
      <c r="E962" s="22"/>
      <c r="F962" s="22"/>
      <c r="G962" s="22"/>
      <c r="H962" s="22"/>
      <c r="I962" s="22"/>
      <c r="J962" s="22"/>
    </row>
    <row r="963">
      <c r="C963" s="22"/>
      <c r="D963" s="22"/>
      <c r="E963" s="22"/>
      <c r="F963" s="22"/>
      <c r="G963" s="22"/>
      <c r="H963" s="22"/>
      <c r="I963" s="22"/>
      <c r="J963" s="22"/>
    </row>
    <row r="964">
      <c r="C964" s="22"/>
      <c r="D964" s="22"/>
      <c r="E964" s="22"/>
      <c r="F964" s="22"/>
      <c r="G964" s="22"/>
      <c r="H964" s="22"/>
      <c r="I964" s="22"/>
      <c r="J964" s="22"/>
    </row>
    <row r="965">
      <c r="C965" s="22"/>
      <c r="D965" s="22"/>
      <c r="E965" s="22"/>
      <c r="F965" s="22"/>
      <c r="G965" s="22"/>
      <c r="H965" s="22"/>
      <c r="I965" s="22"/>
      <c r="J965" s="22"/>
    </row>
    <row r="966">
      <c r="C966" s="22"/>
      <c r="D966" s="22"/>
      <c r="E966" s="22"/>
      <c r="F966" s="22"/>
      <c r="G966" s="22"/>
      <c r="H966" s="22"/>
      <c r="I966" s="22"/>
      <c r="J966" s="22"/>
    </row>
    <row r="967">
      <c r="C967" s="22"/>
      <c r="D967" s="22"/>
      <c r="E967" s="22"/>
      <c r="F967" s="22"/>
      <c r="G967" s="22"/>
      <c r="H967" s="22"/>
      <c r="I967" s="22"/>
      <c r="J967" s="22"/>
    </row>
    <row r="968">
      <c r="C968" s="22"/>
      <c r="D968" s="22"/>
      <c r="E968" s="22"/>
      <c r="F968" s="22"/>
      <c r="G968" s="22"/>
      <c r="H968" s="22"/>
      <c r="I968" s="22"/>
      <c r="J968" s="22"/>
    </row>
    <row r="969">
      <c r="C969" s="22"/>
      <c r="D969" s="22"/>
      <c r="E969" s="22"/>
      <c r="F969" s="22"/>
      <c r="G969" s="22"/>
      <c r="H969" s="22"/>
      <c r="I969" s="22"/>
      <c r="J969" s="22"/>
    </row>
    <row r="970">
      <c r="C970" s="22"/>
      <c r="D970" s="22"/>
      <c r="E970" s="22"/>
      <c r="F970" s="22"/>
      <c r="G970" s="22"/>
      <c r="H970" s="22"/>
      <c r="I970" s="22"/>
      <c r="J970" s="22"/>
    </row>
    <row r="971">
      <c r="C971" s="22"/>
      <c r="D971" s="22"/>
      <c r="E971" s="22"/>
      <c r="F971" s="22"/>
      <c r="G971" s="22"/>
      <c r="H971" s="22"/>
      <c r="I971" s="22"/>
      <c r="J971" s="22"/>
    </row>
    <row r="972">
      <c r="C972" s="22"/>
      <c r="D972" s="22"/>
      <c r="E972" s="22"/>
      <c r="F972" s="22"/>
      <c r="G972" s="22"/>
      <c r="H972" s="22"/>
      <c r="I972" s="22"/>
      <c r="J972" s="22"/>
    </row>
    <row r="973">
      <c r="C973" s="22"/>
      <c r="D973" s="22"/>
      <c r="E973" s="22"/>
      <c r="F973" s="22"/>
      <c r="G973" s="22"/>
      <c r="H973" s="22"/>
      <c r="I973" s="22"/>
      <c r="J973" s="22"/>
    </row>
    <row r="974">
      <c r="C974" s="22"/>
      <c r="D974" s="22"/>
      <c r="E974" s="22"/>
      <c r="F974" s="22"/>
      <c r="G974" s="22"/>
      <c r="H974" s="22"/>
      <c r="I974" s="22"/>
      <c r="J974" s="22"/>
    </row>
    <row r="975">
      <c r="C975" s="22"/>
      <c r="D975" s="22"/>
      <c r="E975" s="22"/>
      <c r="F975" s="22"/>
      <c r="G975" s="22"/>
      <c r="H975" s="22"/>
      <c r="I975" s="22"/>
      <c r="J975" s="22"/>
    </row>
    <row r="976">
      <c r="C976" s="22"/>
      <c r="D976" s="22"/>
      <c r="E976" s="22"/>
      <c r="F976" s="22"/>
      <c r="G976" s="22"/>
      <c r="H976" s="22"/>
      <c r="I976" s="22"/>
      <c r="J976" s="22"/>
    </row>
    <row r="977">
      <c r="C977" s="22"/>
      <c r="D977" s="22"/>
      <c r="E977" s="22"/>
      <c r="F977" s="22"/>
      <c r="G977" s="22"/>
      <c r="H977" s="22"/>
      <c r="I977" s="22"/>
      <c r="J977" s="22"/>
    </row>
    <row r="978">
      <c r="C978" s="22"/>
      <c r="D978" s="22"/>
      <c r="E978" s="22"/>
      <c r="F978" s="22"/>
      <c r="G978" s="22"/>
      <c r="H978" s="22"/>
      <c r="I978" s="22"/>
      <c r="J978" s="22"/>
    </row>
    <row r="979">
      <c r="C979" s="22"/>
      <c r="D979" s="22"/>
      <c r="E979" s="22"/>
      <c r="F979" s="22"/>
      <c r="G979" s="22"/>
      <c r="H979" s="22"/>
      <c r="I979" s="22"/>
      <c r="J979" s="22"/>
    </row>
    <row r="980">
      <c r="C980" s="22"/>
      <c r="D980" s="22"/>
      <c r="E980" s="22"/>
      <c r="F980" s="22"/>
      <c r="G980" s="22"/>
      <c r="H980" s="22"/>
      <c r="I980" s="22"/>
      <c r="J980" s="22"/>
    </row>
    <row r="981">
      <c r="C981" s="22"/>
      <c r="D981" s="22"/>
      <c r="E981" s="22"/>
      <c r="F981" s="22"/>
      <c r="G981" s="22"/>
      <c r="H981" s="22"/>
      <c r="I981" s="22"/>
      <c r="J981" s="22"/>
    </row>
    <row r="982">
      <c r="C982" s="22"/>
      <c r="D982" s="22"/>
      <c r="E982" s="22"/>
      <c r="F982" s="22"/>
      <c r="G982" s="22"/>
      <c r="H982" s="22"/>
      <c r="I982" s="22"/>
      <c r="J982" s="22"/>
    </row>
    <row r="983">
      <c r="C983" s="22"/>
      <c r="D983" s="22"/>
      <c r="E983" s="22"/>
      <c r="F983" s="22"/>
      <c r="G983" s="22"/>
      <c r="H983" s="22"/>
      <c r="I983" s="22"/>
      <c r="J983" s="22"/>
    </row>
    <row r="984">
      <c r="C984" s="22"/>
      <c r="D984" s="22"/>
      <c r="E984" s="22"/>
      <c r="F984" s="22"/>
      <c r="G984" s="22"/>
      <c r="H984" s="22"/>
      <c r="I984" s="22"/>
      <c r="J984" s="22"/>
    </row>
    <row r="985">
      <c r="C985" s="22"/>
      <c r="D985" s="22"/>
      <c r="E985" s="22"/>
      <c r="F985" s="22"/>
      <c r="G985" s="22"/>
      <c r="H985" s="22"/>
      <c r="I985" s="22"/>
      <c r="J985" s="22"/>
    </row>
    <row r="986">
      <c r="C986" s="22"/>
      <c r="D986" s="22"/>
      <c r="E986" s="22"/>
      <c r="F986" s="22"/>
      <c r="G986" s="22"/>
      <c r="H986" s="22"/>
      <c r="I986" s="22"/>
      <c r="J986" s="22"/>
    </row>
    <row r="987">
      <c r="C987" s="22"/>
      <c r="D987" s="22"/>
      <c r="E987" s="22"/>
      <c r="F987" s="22"/>
      <c r="G987" s="22"/>
      <c r="H987" s="22"/>
      <c r="I987" s="22"/>
      <c r="J987" s="22"/>
    </row>
    <row r="988">
      <c r="C988" s="22"/>
      <c r="D988" s="22"/>
      <c r="E988" s="22"/>
      <c r="F988" s="22"/>
      <c r="G988" s="22"/>
      <c r="H988" s="22"/>
      <c r="I988" s="22"/>
      <c r="J988" s="22"/>
    </row>
    <row r="989">
      <c r="C989" s="22"/>
      <c r="D989" s="22"/>
      <c r="E989" s="22"/>
      <c r="F989" s="22"/>
      <c r="G989" s="22"/>
      <c r="H989" s="22"/>
      <c r="I989" s="22"/>
      <c r="J989" s="22"/>
    </row>
    <row r="990">
      <c r="C990" s="22"/>
      <c r="D990" s="22"/>
      <c r="E990" s="22"/>
      <c r="F990" s="22"/>
      <c r="G990" s="22"/>
      <c r="H990" s="22"/>
      <c r="I990" s="22"/>
      <c r="J990" s="22"/>
    </row>
    <row r="991">
      <c r="C991" s="22"/>
      <c r="D991" s="22"/>
      <c r="E991" s="22"/>
      <c r="F991" s="22"/>
      <c r="G991" s="22"/>
      <c r="H991" s="22"/>
      <c r="I991" s="22"/>
      <c r="J991" s="22"/>
    </row>
    <row r="992">
      <c r="C992" s="22"/>
      <c r="D992" s="22"/>
      <c r="E992" s="22"/>
      <c r="F992" s="22"/>
      <c r="G992" s="22"/>
      <c r="H992" s="22"/>
      <c r="I992" s="22"/>
      <c r="J992" s="22"/>
    </row>
    <row r="993">
      <c r="C993" s="22"/>
      <c r="D993" s="22"/>
      <c r="E993" s="22"/>
      <c r="F993" s="22"/>
      <c r="G993" s="22"/>
      <c r="H993" s="22"/>
      <c r="I993" s="22"/>
      <c r="J993" s="22"/>
    </row>
    <row r="994">
      <c r="C994" s="22"/>
      <c r="D994" s="22"/>
      <c r="E994" s="22"/>
      <c r="F994" s="22"/>
      <c r="G994" s="22"/>
      <c r="H994" s="22"/>
      <c r="I994" s="22"/>
      <c r="J994" s="22"/>
    </row>
    <row r="995">
      <c r="C995" s="22"/>
      <c r="D995" s="22"/>
      <c r="E995" s="22"/>
      <c r="F995" s="22"/>
      <c r="G995" s="22"/>
      <c r="H995" s="22"/>
      <c r="I995" s="22"/>
      <c r="J995" s="22"/>
    </row>
    <row r="996">
      <c r="C996" s="22"/>
      <c r="D996" s="22"/>
      <c r="E996" s="22"/>
      <c r="F996" s="22"/>
      <c r="G996" s="22"/>
      <c r="H996" s="22"/>
      <c r="I996" s="22"/>
      <c r="J996" s="22"/>
    </row>
    <row r="997">
      <c r="C997" s="22"/>
      <c r="D997" s="22"/>
      <c r="E997" s="22"/>
      <c r="F997" s="22"/>
      <c r="G997" s="22"/>
      <c r="H997" s="22"/>
      <c r="I997" s="22"/>
      <c r="J997" s="22"/>
    </row>
    <row r="998">
      <c r="C998" s="22"/>
      <c r="D998" s="22"/>
      <c r="E998" s="22"/>
      <c r="F998" s="22"/>
      <c r="G998" s="22"/>
      <c r="H998" s="22"/>
      <c r="I998" s="22"/>
      <c r="J998" s="22"/>
    </row>
    <row r="999">
      <c r="C999" s="22"/>
      <c r="D999" s="22"/>
      <c r="E999" s="22"/>
      <c r="F999" s="22"/>
      <c r="G999" s="22"/>
      <c r="H999" s="22"/>
      <c r="I999" s="22"/>
      <c r="J999" s="22"/>
    </row>
    <row r="1000">
      <c r="C1000" s="22"/>
      <c r="D1000" s="22"/>
      <c r="E1000" s="22"/>
      <c r="F1000" s="22"/>
      <c r="G1000" s="22"/>
      <c r="H1000" s="22"/>
      <c r="I1000" s="22"/>
      <c r="J1000" s="2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2" width="29.0"/>
    <col customWidth="1" min="3" max="3" width="38.0"/>
    <col customWidth="1" min="4" max="4" width="46.0"/>
    <col customWidth="1" min="5" max="5" width="20.0"/>
    <col customWidth="1" min="6" max="6" width="14.0"/>
    <col customWidth="1" min="7" max="7" width="9.0"/>
    <col customWidth="1" min="8" max="8" width="35.0"/>
    <col customWidth="1" min="9" max="9" width="23.0"/>
    <col customWidth="1" min="10" max="10" width="52.0"/>
    <col customWidth="1" min="11" max="26" width="8.63"/>
  </cols>
  <sheetData>
    <row r="1" ht="33.75" customHeight="1">
      <c r="A1" s="1" t="s">
        <v>2234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2235</v>
      </c>
      <c r="B2" s="2"/>
      <c r="C2" s="2"/>
      <c r="D2" s="2"/>
      <c r="E2" s="2"/>
      <c r="F2" s="2"/>
      <c r="G2" s="2"/>
      <c r="H2" s="2"/>
      <c r="I2" s="2"/>
      <c r="J2" s="3"/>
    </row>
    <row r="3" ht="3.75" customHeight="1">
      <c r="A3" s="5"/>
      <c r="B3" s="5"/>
      <c r="C3" s="5"/>
      <c r="D3" s="5"/>
      <c r="E3" s="5"/>
      <c r="F3" s="5"/>
      <c r="G3" s="5"/>
      <c r="H3" s="5"/>
      <c r="I3" s="5"/>
      <c r="J3" s="5"/>
    </row>
    <row r="4" ht="37.5" customHeight="1">
      <c r="A4" s="97" t="s">
        <v>2236</v>
      </c>
      <c r="B4" s="98"/>
      <c r="C4" s="98"/>
      <c r="D4" s="98"/>
      <c r="E4" s="98"/>
      <c r="F4" s="98"/>
      <c r="G4" s="98"/>
      <c r="H4" s="98"/>
      <c r="I4" s="98"/>
      <c r="J4" s="99"/>
    </row>
    <row r="5" ht="14.25" customHeight="1"/>
    <row r="6" ht="33.75" customHeight="1">
      <c r="A6" s="27" t="s">
        <v>2237</v>
      </c>
      <c r="B6" s="27" t="s">
        <v>2238</v>
      </c>
      <c r="C6" s="27" t="s">
        <v>2239</v>
      </c>
      <c r="D6" s="27" t="s">
        <v>2240</v>
      </c>
      <c r="E6" s="27" t="s">
        <v>2241</v>
      </c>
      <c r="F6" s="27" t="s">
        <v>2242</v>
      </c>
      <c r="G6" s="27" t="s">
        <v>2243</v>
      </c>
      <c r="H6" s="27" t="s">
        <v>2244</v>
      </c>
      <c r="I6" s="27" t="s">
        <v>2245</v>
      </c>
      <c r="J6" s="27" t="s">
        <v>2246</v>
      </c>
    </row>
    <row r="7" ht="14.25" customHeight="1">
      <c r="A7" s="100" t="s">
        <v>2247</v>
      </c>
      <c r="B7" s="100" t="s">
        <v>2248</v>
      </c>
      <c r="C7" s="100" t="s">
        <v>2249</v>
      </c>
      <c r="D7" s="100" t="s">
        <v>2250</v>
      </c>
      <c r="E7" s="100" t="s">
        <v>2251</v>
      </c>
      <c r="F7" s="100" t="s">
        <v>2252</v>
      </c>
      <c r="G7" s="101">
        <v>3.0</v>
      </c>
      <c r="H7" s="100" t="s">
        <v>2253</v>
      </c>
      <c r="I7" s="100" t="s">
        <v>2254</v>
      </c>
      <c r="J7" s="100" t="s">
        <v>2255</v>
      </c>
    </row>
    <row r="8" ht="14.25" customHeight="1">
      <c r="A8" s="102" t="s">
        <v>2256</v>
      </c>
      <c r="B8" s="102" t="s">
        <v>2248</v>
      </c>
      <c r="C8" s="102" t="s">
        <v>2257</v>
      </c>
      <c r="D8" s="102" t="s">
        <v>2258</v>
      </c>
      <c r="E8" s="102" t="s">
        <v>2251</v>
      </c>
      <c r="F8" s="102" t="s">
        <v>2259</v>
      </c>
      <c r="G8" s="103">
        <v>2.0</v>
      </c>
      <c r="H8" s="102" t="s">
        <v>2260</v>
      </c>
      <c r="I8" s="102" t="s">
        <v>2261</v>
      </c>
      <c r="J8" s="102" t="s">
        <v>2262</v>
      </c>
    </row>
    <row r="9" ht="14.25" customHeight="1">
      <c r="A9" s="102" t="s">
        <v>2263</v>
      </c>
      <c r="B9" s="102" t="s">
        <v>2248</v>
      </c>
      <c r="C9" s="102" t="s">
        <v>2264</v>
      </c>
      <c r="D9" s="102" t="s">
        <v>2265</v>
      </c>
      <c r="E9" s="102" t="s">
        <v>2251</v>
      </c>
      <c r="F9" s="102" t="s">
        <v>2252</v>
      </c>
      <c r="G9" s="103">
        <v>3.0</v>
      </c>
      <c r="H9" s="102" t="s">
        <v>2266</v>
      </c>
      <c r="I9" s="102" t="s">
        <v>2267</v>
      </c>
      <c r="J9" s="102" t="s">
        <v>2268</v>
      </c>
    </row>
    <row r="10" ht="14.25" customHeight="1">
      <c r="A10" s="102" t="s">
        <v>2269</v>
      </c>
      <c r="B10" s="102" t="s">
        <v>2248</v>
      </c>
      <c r="C10" s="102" t="s">
        <v>2270</v>
      </c>
      <c r="D10" s="102" t="s">
        <v>2271</v>
      </c>
      <c r="E10" s="102" t="s">
        <v>2251</v>
      </c>
      <c r="F10" s="102" t="s">
        <v>2259</v>
      </c>
      <c r="G10" s="103">
        <v>2.0</v>
      </c>
      <c r="H10" s="102" t="s">
        <v>2272</v>
      </c>
      <c r="I10" s="102" t="s">
        <v>2267</v>
      </c>
      <c r="J10" s="102" t="s">
        <v>2273</v>
      </c>
    </row>
    <row r="11" ht="14.25" customHeight="1">
      <c r="A11" s="102" t="s">
        <v>2274</v>
      </c>
      <c r="B11" s="102" t="s">
        <v>2248</v>
      </c>
      <c r="C11" s="102" t="s">
        <v>2275</v>
      </c>
      <c r="D11" s="102" t="s">
        <v>2276</v>
      </c>
      <c r="E11" s="102" t="s">
        <v>2251</v>
      </c>
      <c r="F11" s="102" t="s">
        <v>2259</v>
      </c>
      <c r="G11" s="103">
        <v>2.0</v>
      </c>
      <c r="H11" s="102" t="s">
        <v>2277</v>
      </c>
      <c r="I11" s="102" t="s">
        <v>2278</v>
      </c>
      <c r="J11" s="102" t="s">
        <v>2279</v>
      </c>
    </row>
    <row r="12" ht="14.25" customHeight="1">
      <c r="A12" s="102" t="s">
        <v>2280</v>
      </c>
      <c r="B12" s="102" t="s">
        <v>2248</v>
      </c>
      <c r="C12" s="102" t="s">
        <v>2281</v>
      </c>
      <c r="D12" s="102" t="s">
        <v>2282</v>
      </c>
      <c r="E12" s="102" t="s">
        <v>2251</v>
      </c>
      <c r="F12" s="102" t="s">
        <v>2259</v>
      </c>
      <c r="G12" s="103">
        <v>2.0</v>
      </c>
      <c r="H12" s="102" t="s">
        <v>2283</v>
      </c>
      <c r="I12" s="102" t="s">
        <v>2254</v>
      </c>
      <c r="J12" s="102" t="s">
        <v>2284</v>
      </c>
    </row>
    <row r="13" ht="14.25" customHeight="1">
      <c r="A13" s="102" t="s">
        <v>2285</v>
      </c>
      <c r="B13" s="102" t="s">
        <v>2248</v>
      </c>
      <c r="C13" s="102" t="s">
        <v>2286</v>
      </c>
      <c r="D13" s="102" t="s">
        <v>2287</v>
      </c>
      <c r="E13" s="102" t="s">
        <v>2251</v>
      </c>
      <c r="F13" s="102" t="s">
        <v>2252</v>
      </c>
      <c r="G13" s="103">
        <v>3.0</v>
      </c>
      <c r="H13" s="102" t="s">
        <v>2288</v>
      </c>
      <c r="I13" s="102" t="s">
        <v>2289</v>
      </c>
      <c r="J13" s="102" t="s">
        <v>2290</v>
      </c>
    </row>
    <row r="14" ht="14.25" customHeight="1">
      <c r="A14" s="102" t="s">
        <v>2291</v>
      </c>
      <c r="B14" s="102" t="s">
        <v>2292</v>
      </c>
      <c r="C14" s="102" t="s">
        <v>2293</v>
      </c>
      <c r="D14" s="102" t="s">
        <v>2294</v>
      </c>
      <c r="E14" s="102" t="s">
        <v>2251</v>
      </c>
      <c r="F14" s="102" t="s">
        <v>2252</v>
      </c>
      <c r="G14" s="103">
        <v>3.0</v>
      </c>
      <c r="H14" s="102" t="s">
        <v>2295</v>
      </c>
      <c r="I14" s="102" t="s">
        <v>2261</v>
      </c>
      <c r="J14" s="102" t="s">
        <v>2296</v>
      </c>
    </row>
    <row r="15" ht="14.25" customHeight="1">
      <c r="A15" s="102" t="s">
        <v>2297</v>
      </c>
      <c r="B15" s="102" t="s">
        <v>2292</v>
      </c>
      <c r="C15" s="102" t="s">
        <v>2298</v>
      </c>
      <c r="D15" s="102" t="s">
        <v>2299</v>
      </c>
      <c r="E15" s="102" t="s">
        <v>2251</v>
      </c>
      <c r="F15" s="102" t="s">
        <v>2252</v>
      </c>
      <c r="G15" s="103">
        <v>3.0</v>
      </c>
      <c r="H15" s="102" t="s">
        <v>2300</v>
      </c>
      <c r="I15" s="102" t="s">
        <v>2254</v>
      </c>
      <c r="J15" s="102" t="s">
        <v>2301</v>
      </c>
    </row>
    <row r="16" ht="14.25" customHeight="1">
      <c r="A16" s="102" t="s">
        <v>2302</v>
      </c>
      <c r="B16" s="102" t="s">
        <v>2292</v>
      </c>
      <c r="C16" s="102" t="s">
        <v>2303</v>
      </c>
      <c r="D16" s="102" t="s">
        <v>2304</v>
      </c>
      <c r="E16" s="102" t="s">
        <v>2251</v>
      </c>
      <c r="F16" s="102" t="s">
        <v>2252</v>
      </c>
      <c r="G16" s="103">
        <v>3.0</v>
      </c>
      <c r="H16" s="102" t="s">
        <v>2305</v>
      </c>
      <c r="I16" s="102" t="s">
        <v>2261</v>
      </c>
      <c r="J16" s="102" t="s">
        <v>2306</v>
      </c>
    </row>
    <row r="17" ht="14.25" customHeight="1">
      <c r="A17" s="102" t="s">
        <v>2307</v>
      </c>
      <c r="B17" s="102" t="s">
        <v>2292</v>
      </c>
      <c r="C17" s="102" t="s">
        <v>2308</v>
      </c>
      <c r="D17" s="102" t="s">
        <v>2309</v>
      </c>
      <c r="E17" s="102" t="s">
        <v>2251</v>
      </c>
      <c r="F17" s="102" t="s">
        <v>2259</v>
      </c>
      <c r="G17" s="103">
        <v>2.0</v>
      </c>
      <c r="H17" s="102" t="s">
        <v>2310</v>
      </c>
      <c r="I17" s="102" t="s">
        <v>2261</v>
      </c>
      <c r="J17" s="102" t="s">
        <v>2311</v>
      </c>
    </row>
    <row r="18" ht="14.25" customHeight="1">
      <c r="A18" s="102" t="s">
        <v>2312</v>
      </c>
      <c r="B18" s="102" t="s">
        <v>2292</v>
      </c>
      <c r="C18" s="102" t="s">
        <v>2313</v>
      </c>
      <c r="D18" s="102" t="s">
        <v>2314</v>
      </c>
      <c r="E18" s="102" t="s">
        <v>2251</v>
      </c>
      <c r="F18" s="102" t="s">
        <v>2252</v>
      </c>
      <c r="G18" s="103">
        <v>3.0</v>
      </c>
      <c r="H18" s="102" t="s">
        <v>2315</v>
      </c>
      <c r="I18" s="102" t="s">
        <v>2254</v>
      </c>
      <c r="J18" s="102" t="s">
        <v>2316</v>
      </c>
    </row>
    <row r="19" ht="14.25" customHeight="1">
      <c r="A19" s="102" t="s">
        <v>2317</v>
      </c>
      <c r="B19" s="102" t="s">
        <v>2292</v>
      </c>
      <c r="C19" s="102" t="s">
        <v>2318</v>
      </c>
      <c r="D19" s="102" t="s">
        <v>2319</v>
      </c>
      <c r="E19" s="102" t="s">
        <v>2251</v>
      </c>
      <c r="F19" s="102" t="s">
        <v>2259</v>
      </c>
      <c r="G19" s="103">
        <v>2.0</v>
      </c>
      <c r="H19" s="102" t="s">
        <v>2320</v>
      </c>
      <c r="I19" s="102" t="s">
        <v>2261</v>
      </c>
      <c r="J19" s="102" t="s">
        <v>2321</v>
      </c>
    </row>
    <row r="20" ht="14.25" customHeight="1">
      <c r="A20" s="102" t="s">
        <v>2322</v>
      </c>
      <c r="B20" s="102" t="s">
        <v>2292</v>
      </c>
      <c r="C20" s="102" t="s">
        <v>2323</v>
      </c>
      <c r="D20" s="102" t="s">
        <v>2324</v>
      </c>
      <c r="E20" s="102" t="s">
        <v>2251</v>
      </c>
      <c r="F20" s="102" t="s">
        <v>2325</v>
      </c>
      <c r="G20" s="103">
        <v>1.0</v>
      </c>
      <c r="H20" s="102" t="s">
        <v>2326</v>
      </c>
      <c r="I20" s="102" t="s">
        <v>2261</v>
      </c>
      <c r="J20" s="102" t="s">
        <v>2327</v>
      </c>
    </row>
    <row r="21" ht="14.25" customHeight="1">
      <c r="A21" s="102" t="s">
        <v>2328</v>
      </c>
      <c r="B21" s="102" t="s">
        <v>2292</v>
      </c>
      <c r="C21" s="102" t="s">
        <v>2329</v>
      </c>
      <c r="D21" s="102" t="s">
        <v>2330</v>
      </c>
      <c r="E21" s="102" t="s">
        <v>2251</v>
      </c>
      <c r="F21" s="102" t="s">
        <v>2259</v>
      </c>
      <c r="G21" s="103">
        <v>2.0</v>
      </c>
      <c r="H21" s="102" t="s">
        <v>2331</v>
      </c>
      <c r="I21" s="102" t="s">
        <v>2254</v>
      </c>
      <c r="J21" s="102" t="s">
        <v>2332</v>
      </c>
    </row>
    <row r="22" ht="14.25" customHeight="1">
      <c r="A22" s="102" t="s">
        <v>2333</v>
      </c>
      <c r="B22" s="102" t="s">
        <v>2334</v>
      </c>
      <c r="C22" s="102" t="s">
        <v>2335</v>
      </c>
      <c r="D22" s="102" t="s">
        <v>2336</v>
      </c>
      <c r="E22" s="102" t="s">
        <v>2337</v>
      </c>
      <c r="F22" s="102" t="s">
        <v>2252</v>
      </c>
      <c r="G22" s="103">
        <v>3.0</v>
      </c>
      <c r="H22" s="102" t="s">
        <v>2338</v>
      </c>
      <c r="I22" s="102" t="s">
        <v>2261</v>
      </c>
      <c r="J22" s="102" t="s">
        <v>2339</v>
      </c>
    </row>
    <row r="23" ht="14.25" customHeight="1">
      <c r="A23" s="102" t="s">
        <v>2340</v>
      </c>
      <c r="B23" s="102" t="s">
        <v>2334</v>
      </c>
      <c r="C23" s="102" t="s">
        <v>2341</v>
      </c>
      <c r="D23" s="102" t="s">
        <v>2342</v>
      </c>
      <c r="E23" s="102" t="s">
        <v>2343</v>
      </c>
      <c r="F23" s="102" t="s">
        <v>2252</v>
      </c>
      <c r="G23" s="103">
        <v>3.0</v>
      </c>
      <c r="H23" s="102" t="s">
        <v>2344</v>
      </c>
      <c r="I23" s="102" t="s">
        <v>2261</v>
      </c>
      <c r="J23" s="102" t="s">
        <v>2345</v>
      </c>
    </row>
    <row r="24" ht="14.25" customHeight="1">
      <c r="A24" s="102" t="s">
        <v>2346</v>
      </c>
      <c r="B24" s="102" t="s">
        <v>2334</v>
      </c>
      <c r="C24" s="102" t="s">
        <v>2347</v>
      </c>
      <c r="D24" s="102" t="s">
        <v>2348</v>
      </c>
      <c r="E24" s="102" t="s">
        <v>2349</v>
      </c>
      <c r="F24" s="102" t="s">
        <v>2259</v>
      </c>
      <c r="G24" s="103">
        <v>2.0</v>
      </c>
      <c r="H24" s="102" t="s">
        <v>2350</v>
      </c>
      <c r="I24" s="102" t="s">
        <v>2261</v>
      </c>
      <c r="J24" s="102" t="s">
        <v>2351</v>
      </c>
    </row>
    <row r="25" ht="14.25" customHeight="1">
      <c r="A25" s="102" t="s">
        <v>2352</v>
      </c>
      <c r="B25" s="102" t="s">
        <v>2334</v>
      </c>
      <c r="C25" s="102" t="s">
        <v>2353</v>
      </c>
      <c r="D25" s="102" t="s">
        <v>2354</v>
      </c>
      <c r="E25" s="102" t="s">
        <v>2349</v>
      </c>
      <c r="F25" s="102" t="s">
        <v>2259</v>
      </c>
      <c r="G25" s="103">
        <v>2.0</v>
      </c>
      <c r="H25" s="102" t="s">
        <v>2355</v>
      </c>
      <c r="I25" s="102" t="s">
        <v>2261</v>
      </c>
      <c r="J25" s="102" t="s">
        <v>2356</v>
      </c>
    </row>
    <row r="26" ht="14.25" customHeight="1">
      <c r="A26" s="102" t="s">
        <v>2357</v>
      </c>
      <c r="B26" s="102" t="s">
        <v>2334</v>
      </c>
      <c r="C26" s="102" t="s">
        <v>2358</v>
      </c>
      <c r="D26" s="102" t="s">
        <v>2359</v>
      </c>
      <c r="E26" s="102" t="s">
        <v>2360</v>
      </c>
      <c r="F26" s="102" t="s">
        <v>2259</v>
      </c>
      <c r="G26" s="103">
        <v>2.0</v>
      </c>
      <c r="H26" s="102" t="s">
        <v>2361</v>
      </c>
      <c r="I26" s="102" t="s">
        <v>2261</v>
      </c>
      <c r="J26" s="102" t="s">
        <v>2362</v>
      </c>
    </row>
    <row r="27" ht="14.25" customHeight="1">
      <c r="A27" s="102" t="s">
        <v>2363</v>
      </c>
      <c r="B27" s="102" t="s">
        <v>2334</v>
      </c>
      <c r="C27" s="102" t="s">
        <v>2364</v>
      </c>
      <c r="D27" s="102" t="s">
        <v>2365</v>
      </c>
      <c r="E27" s="102" t="s">
        <v>2366</v>
      </c>
      <c r="F27" s="102" t="s">
        <v>2252</v>
      </c>
      <c r="G27" s="103">
        <v>3.0</v>
      </c>
      <c r="H27" s="102" t="s">
        <v>2367</v>
      </c>
      <c r="I27" s="102" t="s">
        <v>2261</v>
      </c>
      <c r="J27" s="102" t="s">
        <v>2368</v>
      </c>
    </row>
    <row r="28" ht="14.25" customHeight="1">
      <c r="A28" s="102" t="s">
        <v>2369</v>
      </c>
      <c r="B28" s="102" t="s">
        <v>2334</v>
      </c>
      <c r="C28" s="102" t="s">
        <v>2370</v>
      </c>
      <c r="D28" s="102" t="s">
        <v>2371</v>
      </c>
      <c r="E28" s="102" t="s">
        <v>2372</v>
      </c>
      <c r="F28" s="102" t="s">
        <v>2259</v>
      </c>
      <c r="G28" s="103">
        <v>2.0</v>
      </c>
      <c r="H28" s="102" t="s">
        <v>2373</v>
      </c>
      <c r="I28" s="102" t="s">
        <v>2261</v>
      </c>
      <c r="J28" s="102" t="s">
        <v>2374</v>
      </c>
    </row>
    <row r="29" ht="14.25" customHeight="1">
      <c r="A29" s="102" t="s">
        <v>2375</v>
      </c>
      <c r="B29" s="102" t="s">
        <v>2334</v>
      </c>
      <c r="C29" s="102" t="s">
        <v>2376</v>
      </c>
      <c r="D29" s="102" t="s">
        <v>2377</v>
      </c>
      <c r="E29" s="102" t="s">
        <v>2360</v>
      </c>
      <c r="F29" s="102" t="s">
        <v>2259</v>
      </c>
      <c r="G29" s="103">
        <v>2.0</v>
      </c>
      <c r="H29" s="102" t="s">
        <v>2378</v>
      </c>
      <c r="I29" s="102" t="s">
        <v>2261</v>
      </c>
      <c r="J29" s="102" t="s">
        <v>2379</v>
      </c>
    </row>
    <row r="30" ht="14.25" customHeight="1">
      <c r="A30" s="102" t="s">
        <v>2380</v>
      </c>
      <c r="B30" s="102" t="s">
        <v>2334</v>
      </c>
      <c r="C30" s="102" t="s">
        <v>2381</v>
      </c>
      <c r="D30" s="102" t="s">
        <v>2382</v>
      </c>
      <c r="E30" s="102" t="s">
        <v>2383</v>
      </c>
      <c r="F30" s="102" t="s">
        <v>2252</v>
      </c>
      <c r="G30" s="103">
        <v>3.0</v>
      </c>
      <c r="H30" s="102" t="s">
        <v>2384</v>
      </c>
      <c r="I30" s="102" t="s">
        <v>2385</v>
      </c>
      <c r="J30" s="102" t="s">
        <v>2386</v>
      </c>
    </row>
    <row r="31" ht="14.25" customHeight="1">
      <c r="A31" s="102" t="s">
        <v>2387</v>
      </c>
      <c r="B31" s="102" t="s">
        <v>2388</v>
      </c>
      <c r="C31" s="102" t="s">
        <v>2389</v>
      </c>
      <c r="D31" s="102" t="s">
        <v>2390</v>
      </c>
      <c r="E31" s="102" t="s">
        <v>2391</v>
      </c>
      <c r="F31" s="102" t="s">
        <v>2259</v>
      </c>
      <c r="G31" s="103">
        <v>2.0</v>
      </c>
      <c r="H31" s="102" t="s">
        <v>2392</v>
      </c>
      <c r="I31" s="102" t="s">
        <v>2267</v>
      </c>
      <c r="J31" s="102" t="s">
        <v>2393</v>
      </c>
    </row>
    <row r="32" ht="14.25" customHeight="1">
      <c r="A32" s="102" t="s">
        <v>2394</v>
      </c>
      <c r="B32" s="102" t="s">
        <v>2388</v>
      </c>
      <c r="C32" s="102" t="s">
        <v>2395</v>
      </c>
      <c r="D32" s="102" t="s">
        <v>2396</v>
      </c>
      <c r="E32" s="102" t="s">
        <v>2397</v>
      </c>
      <c r="F32" s="102" t="s">
        <v>2259</v>
      </c>
      <c r="G32" s="103">
        <v>2.0</v>
      </c>
      <c r="H32" s="102" t="s">
        <v>2398</v>
      </c>
      <c r="I32" s="102" t="s">
        <v>2267</v>
      </c>
      <c r="J32" s="102" t="s">
        <v>2399</v>
      </c>
    </row>
    <row r="33" ht="14.25" customHeight="1">
      <c r="A33" s="102" t="s">
        <v>2400</v>
      </c>
      <c r="B33" s="102" t="s">
        <v>2388</v>
      </c>
      <c r="C33" s="102" t="s">
        <v>2401</v>
      </c>
      <c r="D33" s="102" t="s">
        <v>2402</v>
      </c>
      <c r="E33" s="102" t="s">
        <v>2403</v>
      </c>
      <c r="F33" s="102" t="s">
        <v>2252</v>
      </c>
      <c r="G33" s="103">
        <v>3.0</v>
      </c>
      <c r="H33" s="102" t="s">
        <v>2404</v>
      </c>
      <c r="I33" s="102" t="s">
        <v>2267</v>
      </c>
      <c r="J33" s="102" t="s">
        <v>2405</v>
      </c>
    </row>
    <row r="34" ht="14.25" customHeight="1">
      <c r="A34" s="102" t="s">
        <v>2406</v>
      </c>
      <c r="B34" s="102" t="s">
        <v>2388</v>
      </c>
      <c r="C34" s="102" t="s">
        <v>2407</v>
      </c>
      <c r="D34" s="102" t="s">
        <v>2408</v>
      </c>
      <c r="E34" s="102" t="s">
        <v>2391</v>
      </c>
      <c r="F34" s="102" t="s">
        <v>2259</v>
      </c>
      <c r="G34" s="103">
        <v>2.0</v>
      </c>
      <c r="H34" s="102" t="s">
        <v>2409</v>
      </c>
      <c r="I34" s="102" t="s">
        <v>2267</v>
      </c>
      <c r="J34" s="102" t="s">
        <v>2410</v>
      </c>
    </row>
    <row r="35" ht="14.25" customHeight="1">
      <c r="A35" s="102" t="s">
        <v>2411</v>
      </c>
      <c r="B35" s="102" t="s">
        <v>2388</v>
      </c>
      <c r="C35" s="102" t="s">
        <v>2412</v>
      </c>
      <c r="D35" s="102" t="s">
        <v>2413</v>
      </c>
      <c r="E35" s="102" t="s">
        <v>2360</v>
      </c>
      <c r="F35" s="102" t="s">
        <v>2259</v>
      </c>
      <c r="G35" s="103">
        <v>2.0</v>
      </c>
      <c r="H35" s="102" t="s">
        <v>2414</v>
      </c>
      <c r="I35" s="102" t="s">
        <v>2267</v>
      </c>
      <c r="J35" s="102" t="s">
        <v>2415</v>
      </c>
    </row>
    <row r="36" ht="14.25" customHeight="1">
      <c r="A36" s="102" t="s">
        <v>2416</v>
      </c>
      <c r="B36" s="102" t="s">
        <v>2417</v>
      </c>
      <c r="C36" s="102" t="s">
        <v>2418</v>
      </c>
      <c r="D36" s="102" t="s">
        <v>2419</v>
      </c>
      <c r="E36" s="102" t="s">
        <v>2349</v>
      </c>
      <c r="F36" s="102" t="s">
        <v>2252</v>
      </c>
      <c r="G36" s="103">
        <v>3.0</v>
      </c>
      <c r="H36" s="102" t="s">
        <v>2420</v>
      </c>
      <c r="I36" s="102" t="s">
        <v>2254</v>
      </c>
      <c r="J36" s="102" t="s">
        <v>2421</v>
      </c>
    </row>
    <row r="37" ht="14.25" customHeight="1">
      <c r="A37" s="102" t="s">
        <v>2422</v>
      </c>
      <c r="B37" s="102" t="s">
        <v>2417</v>
      </c>
      <c r="C37" s="102" t="s">
        <v>2318</v>
      </c>
      <c r="D37" s="102" t="s">
        <v>2423</v>
      </c>
      <c r="E37" s="102" t="s">
        <v>2391</v>
      </c>
      <c r="F37" s="102" t="s">
        <v>2259</v>
      </c>
      <c r="G37" s="103">
        <v>2.0</v>
      </c>
      <c r="H37" s="102" t="s">
        <v>2424</v>
      </c>
      <c r="I37" s="102" t="s">
        <v>2261</v>
      </c>
      <c r="J37" s="102" t="s">
        <v>2425</v>
      </c>
    </row>
    <row r="38" ht="14.25" customHeight="1">
      <c r="A38" s="102" t="s">
        <v>2426</v>
      </c>
      <c r="B38" s="102" t="s">
        <v>2417</v>
      </c>
      <c r="C38" s="102" t="s">
        <v>2427</v>
      </c>
      <c r="D38" s="102" t="s">
        <v>2428</v>
      </c>
      <c r="E38" s="102" t="s">
        <v>2429</v>
      </c>
      <c r="F38" s="102" t="s">
        <v>2259</v>
      </c>
      <c r="G38" s="103">
        <v>2.0</v>
      </c>
      <c r="H38" s="102" t="s">
        <v>2430</v>
      </c>
      <c r="I38" s="102" t="s">
        <v>2261</v>
      </c>
      <c r="J38" s="102" t="s">
        <v>2431</v>
      </c>
    </row>
    <row r="39" ht="14.25" customHeight="1">
      <c r="A39" s="102" t="s">
        <v>2432</v>
      </c>
      <c r="B39" s="102" t="s">
        <v>2417</v>
      </c>
      <c r="C39" s="102" t="s">
        <v>2433</v>
      </c>
      <c r="D39" s="102" t="s">
        <v>2434</v>
      </c>
      <c r="E39" s="102" t="s">
        <v>2435</v>
      </c>
      <c r="F39" s="102" t="s">
        <v>2325</v>
      </c>
      <c r="G39" s="103">
        <v>1.0</v>
      </c>
      <c r="H39" s="102" t="s">
        <v>2436</v>
      </c>
      <c r="I39" s="102" t="s">
        <v>2261</v>
      </c>
      <c r="J39" s="102" t="s">
        <v>2437</v>
      </c>
    </row>
    <row r="40" ht="14.25" customHeight="1">
      <c r="A40" s="102" t="s">
        <v>2438</v>
      </c>
      <c r="B40" s="102" t="s">
        <v>2417</v>
      </c>
      <c r="C40" s="102" t="s">
        <v>2439</v>
      </c>
      <c r="D40" s="102" t="s">
        <v>2440</v>
      </c>
      <c r="E40" s="102" t="s">
        <v>2435</v>
      </c>
      <c r="F40" s="102" t="s">
        <v>2259</v>
      </c>
      <c r="G40" s="103">
        <v>2.0</v>
      </c>
      <c r="H40" s="102" t="s">
        <v>2441</v>
      </c>
      <c r="I40" s="102" t="s">
        <v>2261</v>
      </c>
      <c r="J40" s="102" t="s">
        <v>2442</v>
      </c>
    </row>
    <row r="41" ht="14.25" customHeight="1">
      <c r="A41" s="102" t="s">
        <v>2443</v>
      </c>
      <c r="B41" s="102" t="s">
        <v>2444</v>
      </c>
      <c r="C41" s="102" t="s">
        <v>2445</v>
      </c>
      <c r="D41" s="102" t="s">
        <v>2446</v>
      </c>
      <c r="E41" s="102" t="s">
        <v>2447</v>
      </c>
      <c r="F41" s="102" t="s">
        <v>2252</v>
      </c>
      <c r="G41" s="103">
        <v>3.0</v>
      </c>
      <c r="H41" s="102" t="s">
        <v>2448</v>
      </c>
      <c r="I41" s="102" t="s">
        <v>2254</v>
      </c>
      <c r="J41" s="102" t="s">
        <v>2449</v>
      </c>
    </row>
    <row r="42" ht="14.25" customHeight="1">
      <c r="A42" s="102" t="s">
        <v>2450</v>
      </c>
      <c r="B42" s="102" t="s">
        <v>2444</v>
      </c>
      <c r="C42" s="102" t="s">
        <v>2451</v>
      </c>
      <c r="D42" s="102" t="s">
        <v>2452</v>
      </c>
      <c r="E42" s="102" t="s">
        <v>2447</v>
      </c>
      <c r="F42" s="102" t="s">
        <v>2252</v>
      </c>
      <c r="G42" s="103">
        <v>3.0</v>
      </c>
      <c r="H42" s="102" t="s">
        <v>2453</v>
      </c>
      <c r="I42" s="102" t="s">
        <v>2261</v>
      </c>
      <c r="J42" s="102" t="s">
        <v>2454</v>
      </c>
    </row>
    <row r="43" ht="14.25" customHeight="1">
      <c r="A43" s="102" t="s">
        <v>2455</v>
      </c>
      <c r="B43" s="102" t="s">
        <v>2444</v>
      </c>
      <c r="C43" s="102" t="s">
        <v>2456</v>
      </c>
      <c r="D43" s="102" t="s">
        <v>2457</v>
      </c>
      <c r="E43" s="102" t="s">
        <v>2458</v>
      </c>
      <c r="F43" s="102" t="s">
        <v>2252</v>
      </c>
      <c r="G43" s="103">
        <v>3.0</v>
      </c>
      <c r="H43" s="102" t="s">
        <v>2459</v>
      </c>
      <c r="I43" s="102" t="s">
        <v>2460</v>
      </c>
      <c r="J43" s="102" t="s">
        <v>2461</v>
      </c>
    </row>
    <row r="44" ht="14.25" customHeight="1">
      <c r="A44" s="102" t="s">
        <v>2462</v>
      </c>
      <c r="B44" s="102" t="s">
        <v>2444</v>
      </c>
      <c r="C44" s="102" t="s">
        <v>2463</v>
      </c>
      <c r="D44" s="102" t="s">
        <v>2464</v>
      </c>
      <c r="E44" s="102" t="s">
        <v>2435</v>
      </c>
      <c r="F44" s="102" t="s">
        <v>2252</v>
      </c>
      <c r="G44" s="103">
        <v>3.0</v>
      </c>
      <c r="H44" s="102" t="s">
        <v>2465</v>
      </c>
      <c r="I44" s="102" t="s">
        <v>2254</v>
      </c>
      <c r="J44" s="102" t="s">
        <v>2466</v>
      </c>
    </row>
    <row r="45" ht="14.25" customHeight="1">
      <c r="A45" s="102" t="s">
        <v>2467</v>
      </c>
      <c r="B45" s="102" t="s">
        <v>2444</v>
      </c>
      <c r="C45" s="102" t="s">
        <v>2468</v>
      </c>
      <c r="D45" s="102" t="s">
        <v>2469</v>
      </c>
      <c r="E45" s="102" t="s">
        <v>2458</v>
      </c>
      <c r="F45" s="102" t="s">
        <v>2252</v>
      </c>
      <c r="G45" s="103">
        <v>3.0</v>
      </c>
      <c r="H45" s="102" t="s">
        <v>2470</v>
      </c>
      <c r="I45" s="102" t="s">
        <v>2278</v>
      </c>
      <c r="J45" s="102" t="s">
        <v>2471</v>
      </c>
    </row>
    <row r="46" ht="14.25" customHeight="1">
      <c r="A46" s="102" t="s">
        <v>2472</v>
      </c>
      <c r="B46" s="102" t="s">
        <v>2444</v>
      </c>
      <c r="C46" s="102" t="s">
        <v>2473</v>
      </c>
      <c r="D46" s="102" t="s">
        <v>2474</v>
      </c>
      <c r="E46" s="102" t="s">
        <v>2435</v>
      </c>
      <c r="F46" s="102" t="s">
        <v>2252</v>
      </c>
      <c r="G46" s="103">
        <v>3.0</v>
      </c>
      <c r="H46" s="102" t="s">
        <v>2475</v>
      </c>
      <c r="I46" s="102" t="s">
        <v>2261</v>
      </c>
      <c r="J46" s="102" t="s">
        <v>2476</v>
      </c>
    </row>
    <row r="47" ht="14.25" customHeight="1">
      <c r="A47" s="102" t="s">
        <v>2477</v>
      </c>
      <c r="B47" s="102" t="s">
        <v>2444</v>
      </c>
      <c r="C47" s="102" t="s">
        <v>2478</v>
      </c>
      <c r="D47" s="102" t="s">
        <v>2479</v>
      </c>
      <c r="E47" s="102" t="s">
        <v>2435</v>
      </c>
      <c r="F47" s="102" t="s">
        <v>2252</v>
      </c>
      <c r="G47" s="103">
        <v>3.0</v>
      </c>
      <c r="H47" s="102" t="s">
        <v>2480</v>
      </c>
      <c r="I47" s="102" t="s">
        <v>2267</v>
      </c>
      <c r="J47" s="102" t="s">
        <v>2481</v>
      </c>
    </row>
    <row r="48" ht="14.25" customHeight="1">
      <c r="A48" s="102" t="s">
        <v>2482</v>
      </c>
      <c r="B48" s="102" t="s">
        <v>2483</v>
      </c>
      <c r="C48" s="102" t="s">
        <v>2270</v>
      </c>
      <c r="D48" s="102" t="s">
        <v>2484</v>
      </c>
      <c r="E48" s="102" t="s">
        <v>2485</v>
      </c>
      <c r="F48" s="102" t="s">
        <v>2486</v>
      </c>
      <c r="G48" s="103">
        <v>0.0</v>
      </c>
      <c r="H48" s="102" t="s">
        <v>2487</v>
      </c>
      <c r="I48" s="102" t="s">
        <v>2488</v>
      </c>
      <c r="J48" s="102" t="s">
        <v>2489</v>
      </c>
    </row>
    <row r="49" ht="14.25" customHeight="1">
      <c r="A49" s="102" t="s">
        <v>2490</v>
      </c>
      <c r="B49" s="102" t="s">
        <v>2483</v>
      </c>
      <c r="C49" s="102" t="s">
        <v>2491</v>
      </c>
      <c r="D49" s="102" t="s">
        <v>2484</v>
      </c>
      <c r="E49" s="102" t="s">
        <v>2485</v>
      </c>
      <c r="F49" s="102" t="s">
        <v>2486</v>
      </c>
      <c r="G49" s="103">
        <v>0.0</v>
      </c>
      <c r="H49" s="102" t="s">
        <v>2492</v>
      </c>
      <c r="I49" s="102" t="s">
        <v>2488</v>
      </c>
      <c r="J49" s="102" t="s">
        <v>2489</v>
      </c>
    </row>
    <row r="50" ht="14.25" customHeight="1">
      <c r="A50" s="102" t="s">
        <v>2493</v>
      </c>
      <c r="B50" s="102" t="s">
        <v>2483</v>
      </c>
      <c r="C50" s="102" t="s">
        <v>2494</v>
      </c>
      <c r="D50" s="102" t="s">
        <v>2484</v>
      </c>
      <c r="E50" s="102" t="s">
        <v>2485</v>
      </c>
      <c r="F50" s="102" t="s">
        <v>2486</v>
      </c>
      <c r="G50" s="103">
        <v>0.0</v>
      </c>
      <c r="H50" s="102" t="s">
        <v>2495</v>
      </c>
      <c r="I50" s="102" t="s">
        <v>2488</v>
      </c>
      <c r="J50" s="102" t="s">
        <v>2489</v>
      </c>
    </row>
    <row r="51" ht="14.25" customHeight="1">
      <c r="A51" s="102" t="s">
        <v>2496</v>
      </c>
      <c r="B51" s="102" t="s">
        <v>2483</v>
      </c>
      <c r="C51" s="102" t="s">
        <v>2497</v>
      </c>
      <c r="D51" s="102" t="s">
        <v>2484</v>
      </c>
      <c r="E51" s="102" t="s">
        <v>2485</v>
      </c>
      <c r="F51" s="102" t="s">
        <v>2486</v>
      </c>
      <c r="G51" s="103">
        <v>0.0</v>
      </c>
      <c r="H51" s="102" t="s">
        <v>2498</v>
      </c>
      <c r="I51" s="102" t="s">
        <v>2488</v>
      </c>
      <c r="J51" s="102" t="s">
        <v>2499</v>
      </c>
    </row>
    <row r="52" ht="14.25" customHeight="1">
      <c r="A52" s="102" t="s">
        <v>2500</v>
      </c>
      <c r="B52" s="102" t="s">
        <v>2483</v>
      </c>
      <c r="C52" s="102" t="s">
        <v>2501</v>
      </c>
      <c r="D52" s="102" t="s">
        <v>2502</v>
      </c>
      <c r="E52" s="102" t="s">
        <v>2485</v>
      </c>
      <c r="F52" s="102" t="s">
        <v>2486</v>
      </c>
      <c r="G52" s="103">
        <v>0.0</v>
      </c>
      <c r="H52" s="102" t="s">
        <v>2503</v>
      </c>
      <c r="I52" s="102" t="s">
        <v>2488</v>
      </c>
      <c r="J52" s="102" t="s">
        <v>2504</v>
      </c>
    </row>
    <row r="53" ht="14.25" customHeight="1">
      <c r="A53" s="102" t="s">
        <v>2505</v>
      </c>
      <c r="B53" s="102" t="s">
        <v>2483</v>
      </c>
      <c r="C53" s="102" t="s">
        <v>2506</v>
      </c>
      <c r="D53" s="102" t="s">
        <v>2484</v>
      </c>
      <c r="E53" s="102" t="s">
        <v>2485</v>
      </c>
      <c r="F53" s="102" t="s">
        <v>2486</v>
      </c>
      <c r="G53" s="103">
        <v>0.0</v>
      </c>
      <c r="H53" s="102" t="s">
        <v>2507</v>
      </c>
      <c r="I53" s="102" t="s">
        <v>2488</v>
      </c>
      <c r="J53" s="102" t="s">
        <v>2508</v>
      </c>
    </row>
    <row r="54" ht="14.25" customHeight="1">
      <c r="A54" s="102" t="s">
        <v>2509</v>
      </c>
      <c r="B54" s="102" t="s">
        <v>2483</v>
      </c>
      <c r="C54" s="102" t="s">
        <v>2510</v>
      </c>
      <c r="D54" s="102" t="s">
        <v>2484</v>
      </c>
      <c r="E54" s="102" t="s">
        <v>2485</v>
      </c>
      <c r="F54" s="102" t="s">
        <v>2486</v>
      </c>
      <c r="G54" s="103">
        <v>0.0</v>
      </c>
      <c r="H54" s="102" t="s">
        <v>2511</v>
      </c>
      <c r="I54" s="102" t="s">
        <v>2488</v>
      </c>
      <c r="J54" s="102" t="s">
        <v>2512</v>
      </c>
    </row>
    <row r="55" ht="14.25" customHeight="1">
      <c r="A55" s="102" t="s">
        <v>2513</v>
      </c>
      <c r="B55" s="102" t="s">
        <v>2483</v>
      </c>
      <c r="C55" s="102" t="s">
        <v>2514</v>
      </c>
      <c r="D55" s="102" t="s">
        <v>2484</v>
      </c>
      <c r="E55" s="102" t="s">
        <v>2485</v>
      </c>
      <c r="F55" s="102" t="s">
        <v>2486</v>
      </c>
      <c r="G55" s="103">
        <v>0.0</v>
      </c>
      <c r="H55" s="102" t="s">
        <v>2515</v>
      </c>
      <c r="I55" s="102" t="s">
        <v>2488</v>
      </c>
      <c r="J55" s="102" t="s">
        <v>2516</v>
      </c>
    </row>
    <row r="56" ht="14.25" customHeight="1">
      <c r="A56" s="102" t="s">
        <v>2517</v>
      </c>
      <c r="B56" s="102" t="s">
        <v>2483</v>
      </c>
      <c r="C56" s="102" t="s">
        <v>2518</v>
      </c>
      <c r="D56" s="102" t="s">
        <v>2484</v>
      </c>
      <c r="E56" s="102" t="s">
        <v>2485</v>
      </c>
      <c r="F56" s="102" t="s">
        <v>2486</v>
      </c>
      <c r="G56" s="103">
        <v>0.0</v>
      </c>
      <c r="H56" s="102" t="s">
        <v>2519</v>
      </c>
      <c r="I56" s="102" t="s">
        <v>2488</v>
      </c>
      <c r="J56" s="102" t="s">
        <v>2520</v>
      </c>
    </row>
    <row r="57" ht="14.25" customHeight="1">
      <c r="A57" s="102" t="s">
        <v>2521</v>
      </c>
      <c r="B57" s="102" t="s">
        <v>2483</v>
      </c>
      <c r="C57" s="102" t="s">
        <v>2522</v>
      </c>
      <c r="D57" s="102" t="s">
        <v>2484</v>
      </c>
      <c r="E57" s="102" t="s">
        <v>2485</v>
      </c>
      <c r="F57" s="102" t="s">
        <v>2486</v>
      </c>
      <c r="G57" s="103">
        <v>0.0</v>
      </c>
      <c r="H57" s="102" t="s">
        <v>2523</v>
      </c>
      <c r="I57" s="102" t="s">
        <v>2488</v>
      </c>
      <c r="J57" s="102" t="s">
        <v>2524</v>
      </c>
    </row>
    <row r="58" ht="14.25" customHeight="1">
      <c r="A58" s="102" t="s">
        <v>2525</v>
      </c>
      <c r="B58" s="102" t="s">
        <v>2483</v>
      </c>
      <c r="C58" s="102" t="s">
        <v>2526</v>
      </c>
      <c r="D58" s="102" t="s">
        <v>2484</v>
      </c>
      <c r="E58" s="102" t="s">
        <v>2485</v>
      </c>
      <c r="F58" s="102" t="s">
        <v>2486</v>
      </c>
      <c r="G58" s="103">
        <v>0.0</v>
      </c>
      <c r="H58" s="102" t="s">
        <v>2527</v>
      </c>
      <c r="I58" s="102" t="s">
        <v>2488</v>
      </c>
      <c r="J58" s="102" t="s">
        <v>2528</v>
      </c>
    </row>
    <row r="59" ht="14.25" customHeight="1">
      <c r="A59" s="104" t="s">
        <v>2529</v>
      </c>
      <c r="B59" s="104" t="s">
        <v>2483</v>
      </c>
      <c r="C59" s="104" t="s">
        <v>2530</v>
      </c>
      <c r="D59" s="104" t="s">
        <v>2484</v>
      </c>
      <c r="E59" s="104" t="s">
        <v>2485</v>
      </c>
      <c r="F59" s="104" t="s">
        <v>2486</v>
      </c>
      <c r="G59" s="105">
        <v>0.0</v>
      </c>
      <c r="H59" s="104" t="s">
        <v>2531</v>
      </c>
      <c r="I59" s="104" t="s">
        <v>2488</v>
      </c>
      <c r="J59" s="104" t="s">
        <v>2532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40393A42-96D2-43F5-993C-8E18A3A5FCF8}" filter="1" showAutoFilter="1">
      <autoFilter ref="$A$6:$J$59"/>
      <extLst>
        <ext uri="GoogleSheetsCustomDataVersion1">
          <go:sheetsCustomData xmlns:go="http://customooxmlschemas.google.com/" filterViewId="241409794"/>
        </ext>
      </extLst>
    </customSheetView>
  </customSheetViews>
  <mergeCells count="3">
    <mergeCell ref="A1:J1"/>
    <mergeCell ref="A2:J2"/>
    <mergeCell ref="A4:J4"/>
  </mergeCells>
  <printOptions/>
  <pageMargins bottom="0.75" footer="0.0" header="0.0" left="0.7" right="0.7" top="0.75"/>
  <pageSetup paperSize="12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2" width="48.0"/>
    <col customWidth="1" min="3" max="3" width="11.0"/>
    <col customWidth="1" min="4" max="4" width="31.0"/>
    <col customWidth="1" min="5" max="5" width="12.0"/>
    <col customWidth="1" min="6" max="7" width="14.0"/>
    <col customWidth="1" min="8" max="8" width="26.0"/>
    <col customWidth="1" min="9" max="9" width="16.0"/>
    <col customWidth="1" min="10" max="11" width="12.0"/>
    <col customWidth="1" min="12" max="12" width="15.0"/>
    <col customWidth="1" min="13" max="13" width="12.0"/>
    <col customWidth="1" min="14" max="14" width="19.0"/>
    <col customWidth="1" min="15" max="15" width="44.0"/>
    <col customWidth="1" min="16" max="26" width="8.63"/>
  </cols>
  <sheetData>
    <row r="1" ht="33.75" customHeight="1">
      <c r="A1" s="1" t="s">
        <v>2533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30.0" customHeight="1">
      <c r="A2" s="4" t="s">
        <v>2534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ht="3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14.25" customHeight="1"/>
    <row r="5" ht="33.75" customHeight="1">
      <c r="A5" s="27" t="s">
        <v>2535</v>
      </c>
      <c r="B5" s="27" t="s">
        <v>2536</v>
      </c>
      <c r="C5" s="27" t="s">
        <v>45</v>
      </c>
      <c r="D5" s="27" t="s">
        <v>2537</v>
      </c>
      <c r="E5" s="27" t="s">
        <v>2538</v>
      </c>
      <c r="F5" s="27" t="s">
        <v>2539</v>
      </c>
      <c r="G5" s="27" t="s">
        <v>2540</v>
      </c>
      <c r="H5" s="27" t="s">
        <v>2541</v>
      </c>
      <c r="I5" s="27" t="s">
        <v>19</v>
      </c>
      <c r="J5" s="27" t="s">
        <v>2542</v>
      </c>
      <c r="K5" s="27" t="s">
        <v>2543</v>
      </c>
      <c r="L5" s="27" t="s">
        <v>2544</v>
      </c>
      <c r="M5" s="27" t="s">
        <v>2545</v>
      </c>
      <c r="N5" s="27" t="s">
        <v>2546</v>
      </c>
      <c r="O5" s="27" t="s">
        <v>2547</v>
      </c>
    </row>
    <row r="6" ht="14.25" customHeight="1">
      <c r="A6" s="106" t="s">
        <v>2548</v>
      </c>
      <c r="B6" s="29" t="s">
        <v>75</v>
      </c>
      <c r="C6" s="100" t="str">
        <f t="array" ref="C6">IF(B6="","",IFERROR(INDEX('Cadastro Unidades'!$A$6:$A$222,MATCH(B6,'Cadastro Unidades'!$E$6:$E$222,0)),""))</f>
        <v>DABEL</v>
      </c>
      <c r="D6" s="107" t="s">
        <v>2549</v>
      </c>
      <c r="E6" s="100" t="s">
        <v>2259</v>
      </c>
      <c r="F6" s="108"/>
      <c r="G6" s="108"/>
      <c r="H6" s="100"/>
      <c r="I6" s="100" t="s">
        <v>2550</v>
      </c>
      <c r="J6" s="109">
        <f>IF(A7="","",COUNTIF('Auditoria Documental'!$A$7:$A$1000,A7))</f>
        <v>0</v>
      </c>
      <c r="K6" s="109">
        <f>IF(A7="","",COUNTIFS('Auditoria Documental'!$A$7:$A$1000,A7,'Auditoria Documental'!$K$7:$K$1000,"&lt;&gt;Não avaliado",'Auditoria Documental'!$K$7:$K$1000,"&lt;&gt;"))</f>
        <v>0</v>
      </c>
      <c r="L6" s="110">
        <f>IF(A7="","",IFERROR(SUMIFS('Auditoria Documental'!$N$7:$N$1000,'Auditoria Documental'!$A$7:$A$1000,A7)/SUMIFS('Auditoria Documental'!$M$7:$M$1000,'Auditoria Documental'!$A$7:$A$1000,A7),0))</f>
        <v>0</v>
      </c>
      <c r="M6" s="109">
        <f>IF(A7="","",COUNTIFS('Auditoria Documental'!$A$7:$A$1000,A7,'Auditoria Documental'!$J$7:$J$1000,3,'Auditoria Documental'!$K$7:$K$1000,"Não conforme"))</f>
        <v>0</v>
      </c>
      <c r="N6" s="110">
        <f>IF(A7="","",IFERROR(COUNTIFS('Auditoria Documental'!$A$7:$A$1000,A7,'Auditoria Documental'!$G$7:$G$1000,"7. Checklist da visita",'Auditoria Documental'!$K$7:$K$1000,"&lt;&gt;Não avaliado",'Auditoria Documental'!$K$7:$K$1000,"&lt;&gt;")/COUNTIF('Lista Mestra'!$B$7:$B$59,"7. Checklist da visita"),0))</f>
        <v>0</v>
      </c>
      <c r="O6" s="100"/>
    </row>
    <row r="7" ht="14.25" customHeight="1">
      <c r="A7" s="106" t="s">
        <v>2551</v>
      </c>
      <c r="B7" s="39" t="s">
        <v>92</v>
      </c>
      <c r="C7" s="102" t="str">
        <f t="array" ref="C7">IF(B7="","",IFERROR(INDEX('Cadastro Unidades'!$A$6:$A$222,MATCH(B7,'Cadastro Unidades'!$E$6:$E$222,0)),""))</f>
        <v>DABEL</v>
      </c>
      <c r="D7" s="111" t="s">
        <v>2549</v>
      </c>
      <c r="E7" s="102"/>
      <c r="F7" s="112"/>
      <c r="G7" s="112"/>
      <c r="H7" s="102"/>
      <c r="I7" s="102"/>
      <c r="J7" s="113" t="str">
        <f>IF(#REF!="","",COUNTIF('Auditoria Documental'!$A$7:$A$1000,#REF!))</f>
        <v>#REF!</v>
      </c>
      <c r="K7" s="113" t="str">
        <f>IF(#REF!="","",COUNTIFS('Auditoria Documental'!$A$7:$A$1000,#REF!,'Auditoria Documental'!$K$7:$K$1000,"&lt;&gt;Não avaliado",'Auditoria Documental'!$K$7:$K$1000,"&lt;&gt;"))</f>
        <v>#REF!</v>
      </c>
      <c r="L7" s="114" t="str">
        <f>IF(#REF!="","",IFERROR(SUMIFS('Auditoria Documental'!$N$7:$N$1000,'Auditoria Documental'!$A$7:$A$1000,#REF!)/SUMIFS('Auditoria Documental'!$M$7:$M$1000,'Auditoria Documental'!$A$7:$A$1000,#REF!),0))</f>
        <v>#REF!</v>
      </c>
      <c r="M7" s="113" t="str">
        <f>IF(#REF!="","",COUNTIFS('Auditoria Documental'!$A$7:$A$1000,#REF!,'Auditoria Documental'!$J$7:$J$1000,3,'Auditoria Documental'!$K$7:$K$1000,"Não conforme"))</f>
        <v>#REF!</v>
      </c>
      <c r="N7" s="114" t="str">
        <f>IF(#REF!="","",IFERROR(COUNTIFS('Auditoria Documental'!$A$7:$A$1000,#REF!,'Auditoria Documental'!$G$7:$G$1000,"7. Checklist da visita",'Auditoria Documental'!$K$7:$K$1000,"&lt;&gt;Não avaliado",'Auditoria Documental'!$K$7:$K$1000,"&lt;&gt;")/COUNTIF('Lista Mestra'!$B$7:$B$59,"7. Checklist da visita"),0))</f>
        <v>#REF!</v>
      </c>
      <c r="O7" s="102"/>
    </row>
    <row r="8" ht="14.25" customHeight="1">
      <c r="A8" s="106" t="s">
        <v>2552</v>
      </c>
      <c r="B8" s="39" t="s">
        <v>104</v>
      </c>
      <c r="C8" s="102" t="str">
        <f t="array" ref="C8">IF(B8="","",IFERROR(INDEX('Cadastro Unidades'!$A$6:$A$222,MATCH(B8,'Cadastro Unidades'!$E$6:$E$222,0)),""))</f>
        <v>DABEL</v>
      </c>
      <c r="D8" s="102"/>
      <c r="E8" s="102"/>
      <c r="F8" s="112"/>
      <c r="G8" s="112"/>
      <c r="H8" s="102"/>
      <c r="I8" s="102"/>
      <c r="J8" s="113">
        <f>IF(A8="","",COUNTIF('Auditoria Documental'!$A$7:$A$1000,A8))</f>
        <v>0</v>
      </c>
      <c r="K8" s="113">
        <f>IF(A8="","",COUNTIFS('Auditoria Documental'!$A$7:$A$1000,A8,'Auditoria Documental'!$K$7:$K$1000,"&lt;&gt;Não avaliado",'Auditoria Documental'!$K$7:$K$1000,"&lt;&gt;"))</f>
        <v>0</v>
      </c>
      <c r="L8" s="114">
        <f>IF(A8="","",IFERROR(SUMIFS('Auditoria Documental'!$N$7:$N$1000,'Auditoria Documental'!$A$7:$A$1000,A8)/SUMIFS('Auditoria Documental'!$M$7:$M$1000,'Auditoria Documental'!$A$7:$A$1000,A8),0))</f>
        <v>0</v>
      </c>
      <c r="M8" s="113">
        <f>IF(A8="","",COUNTIFS('Auditoria Documental'!$A$7:$A$1000,A8,'Auditoria Documental'!$J$7:$J$1000,3,'Auditoria Documental'!$K$7:$K$1000,"Não conforme"))</f>
        <v>0</v>
      </c>
      <c r="N8" s="114">
        <f>IF(A8="","",IFERROR(COUNTIFS('Auditoria Documental'!$A$7:$A$1000,A8,'Auditoria Documental'!$G$7:$G$1000,"7. Checklist da visita",'Auditoria Documental'!$K$7:$K$1000,"&lt;&gt;Não avaliado",'Auditoria Documental'!$K$7:$K$1000,"&lt;&gt;")/COUNTIF('Lista Mestra'!$B$7:$B$59,"7. Checklist da visita"),0))</f>
        <v>0</v>
      </c>
      <c r="O8" s="102"/>
    </row>
    <row r="9" ht="14.25" customHeight="1">
      <c r="A9" s="106" t="s">
        <v>2553</v>
      </c>
      <c r="B9" s="39" t="s">
        <v>118</v>
      </c>
      <c r="C9" s="102" t="str">
        <f t="array" ref="C9">IF(B9="","",IFERROR(INDEX('Cadastro Unidades'!$A$6:$A$222,MATCH(B9,'Cadastro Unidades'!$E$6:$E$222,0)),""))</f>
        <v>DABEL</v>
      </c>
      <c r="D9" s="102"/>
      <c r="E9" s="102"/>
      <c r="F9" s="112"/>
      <c r="G9" s="112"/>
      <c r="H9" s="102"/>
      <c r="I9" s="102"/>
      <c r="J9" s="113">
        <f>IF(A9="","",COUNTIF('Auditoria Documental'!$A$7:$A$1000,A9))</f>
        <v>0</v>
      </c>
      <c r="K9" s="113">
        <f>IF(A9="","",COUNTIFS('Auditoria Documental'!$A$7:$A$1000,A9,'Auditoria Documental'!$K$7:$K$1000,"&lt;&gt;Não avaliado",'Auditoria Documental'!$K$7:$K$1000,"&lt;&gt;"))</f>
        <v>0</v>
      </c>
      <c r="L9" s="114">
        <f>IF(A9="","",IFERROR(SUMIFS('Auditoria Documental'!$N$7:$N$1000,'Auditoria Documental'!$A$7:$A$1000,A9)/SUMIFS('Auditoria Documental'!$M$7:$M$1000,'Auditoria Documental'!$A$7:$A$1000,A9),0))</f>
        <v>0</v>
      </c>
      <c r="M9" s="113">
        <f>IF(A9="","",COUNTIFS('Auditoria Documental'!$A$7:$A$1000,A9,'Auditoria Documental'!$J$7:$J$1000,3,'Auditoria Documental'!$K$7:$K$1000,"Não conforme"))</f>
        <v>0</v>
      </c>
      <c r="N9" s="114">
        <f>IF(A9="","",IFERROR(COUNTIFS('Auditoria Documental'!$A$7:$A$1000,A9,'Auditoria Documental'!$G$7:$G$1000,"7. Checklist da visita",'Auditoria Documental'!$K$7:$K$1000,"&lt;&gt;Não avaliado",'Auditoria Documental'!$K$7:$K$1000,"&lt;&gt;")/COUNTIF('Lista Mestra'!$B$7:$B$59,"7. Checklist da visita"),0))</f>
        <v>0</v>
      </c>
      <c r="O9" s="102"/>
    </row>
    <row r="10" ht="14.25" customHeight="1">
      <c r="A10" s="106" t="s">
        <v>2554</v>
      </c>
      <c r="B10" s="39" t="s">
        <v>128</v>
      </c>
      <c r="C10" s="102" t="str">
        <f t="array" ref="C10">IF(B10="","",IFERROR(INDEX('Cadastro Unidades'!$A$6:$A$222,MATCH(B10,'Cadastro Unidades'!$E$6:$E$222,0)),""))</f>
        <v>DABEL</v>
      </c>
      <c r="D10" s="102"/>
      <c r="E10" s="102"/>
      <c r="F10" s="112"/>
      <c r="G10" s="112"/>
      <c r="H10" s="102"/>
      <c r="I10" s="102"/>
      <c r="J10" s="113">
        <f>IF(A10="","",COUNTIF('Auditoria Documental'!$A$7:$A$1000,A10))</f>
        <v>0</v>
      </c>
      <c r="K10" s="113">
        <f>IF(A10="","",COUNTIFS('Auditoria Documental'!$A$7:$A$1000,A10,'Auditoria Documental'!$K$7:$K$1000,"&lt;&gt;Não avaliado",'Auditoria Documental'!$K$7:$K$1000,"&lt;&gt;"))</f>
        <v>0</v>
      </c>
      <c r="L10" s="114">
        <f>IF(A10="","",IFERROR(SUMIFS('Auditoria Documental'!$N$7:$N$1000,'Auditoria Documental'!$A$7:$A$1000,A10)/SUMIFS('Auditoria Documental'!$M$7:$M$1000,'Auditoria Documental'!$A$7:$A$1000,A10),0))</f>
        <v>0</v>
      </c>
      <c r="M10" s="113">
        <f>IF(A10="","",COUNTIFS('Auditoria Documental'!$A$7:$A$1000,A10,'Auditoria Documental'!$J$7:$J$1000,3,'Auditoria Documental'!$K$7:$K$1000,"Não conforme"))</f>
        <v>0</v>
      </c>
      <c r="N10" s="114">
        <f>IF(A10="","",IFERROR(COUNTIFS('Auditoria Documental'!$A$7:$A$1000,A10,'Auditoria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0" s="102"/>
    </row>
    <row r="11" ht="14.25" customHeight="1">
      <c r="A11" s="106" t="s">
        <v>2555</v>
      </c>
      <c r="B11" s="39" t="s">
        <v>134</v>
      </c>
      <c r="C11" s="102" t="str">
        <f t="array" ref="C11">IF(B11="","",IFERROR(INDEX('Cadastro Unidades'!$A$6:$A$222,MATCH(B11,'Cadastro Unidades'!$E$6:$E$222,0)),""))</f>
        <v>DABEL</v>
      </c>
      <c r="D11" s="102"/>
      <c r="E11" s="102"/>
      <c r="F11" s="112"/>
      <c r="G11" s="112"/>
      <c r="H11" s="102"/>
      <c r="I11" s="102"/>
      <c r="J11" s="113">
        <f>IF(A11="","",COUNTIF('Auditoria Documental'!$A$7:$A$1000,A11))</f>
        <v>0</v>
      </c>
      <c r="K11" s="113">
        <f>IF(A11="","",COUNTIFS('Auditoria Documental'!$A$7:$A$1000,A11,'Auditoria Documental'!$K$7:$K$1000,"&lt;&gt;Não avaliado",'Auditoria Documental'!$K$7:$K$1000,"&lt;&gt;"))</f>
        <v>0</v>
      </c>
      <c r="L11" s="114">
        <f>IF(A11="","",IFERROR(SUMIFS('Auditoria Documental'!$N$7:$N$1000,'Auditoria Documental'!$A$7:$A$1000,A11)/SUMIFS('Auditoria Documental'!$M$7:$M$1000,'Auditoria Documental'!$A$7:$A$1000,A11),0))</f>
        <v>0</v>
      </c>
      <c r="M11" s="113">
        <f>IF(A11="","",COUNTIFS('Auditoria Documental'!$A$7:$A$1000,A11,'Auditoria Documental'!$J$7:$J$1000,3,'Auditoria Documental'!$K$7:$K$1000,"Não conforme"))</f>
        <v>0</v>
      </c>
      <c r="N11" s="114">
        <f>IF(A11="","",IFERROR(COUNTIFS('Auditoria Documental'!$A$7:$A$1000,A11,'Auditoria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1" s="102"/>
    </row>
    <row r="12" ht="14.25" customHeight="1">
      <c r="A12" s="106" t="s">
        <v>2556</v>
      </c>
      <c r="B12" s="39" t="s">
        <v>144</v>
      </c>
      <c r="C12" s="102" t="str">
        <f t="array" ref="C12">IF(B12="","",IFERROR(INDEX('Cadastro Unidades'!$A$6:$A$222,MATCH(B12,'Cadastro Unidades'!$E$6:$E$222,0)),""))</f>
        <v>DABEL</v>
      </c>
      <c r="D12" s="102"/>
      <c r="E12" s="102"/>
      <c r="F12" s="112"/>
      <c r="G12" s="112"/>
      <c r="H12" s="102"/>
      <c r="I12" s="102"/>
      <c r="J12" s="113">
        <f>IF(A12="","",COUNTIF('Auditoria Documental'!$A$7:$A$1000,A12))</f>
        <v>0</v>
      </c>
      <c r="K12" s="113">
        <f>IF(A12="","",COUNTIFS('Auditoria Documental'!$A$7:$A$1000,A12,'Auditoria Documental'!$K$7:$K$1000,"&lt;&gt;Não avaliado",'Auditoria Documental'!$K$7:$K$1000,"&lt;&gt;"))</f>
        <v>0</v>
      </c>
      <c r="L12" s="114">
        <f>IF(A12="","",IFERROR(SUMIFS('Auditoria Documental'!$N$7:$N$1000,'Auditoria Documental'!$A$7:$A$1000,A12)/SUMIFS('Auditoria Documental'!$M$7:$M$1000,'Auditoria Documental'!$A$7:$A$1000,A12),0))</f>
        <v>0</v>
      </c>
      <c r="M12" s="113">
        <f>IF(A12="","",COUNTIFS('Auditoria Documental'!$A$7:$A$1000,A12,'Auditoria Documental'!$J$7:$J$1000,3,'Auditoria Documental'!$K$7:$K$1000,"Não conforme"))</f>
        <v>0</v>
      </c>
      <c r="N12" s="114">
        <f>IF(A12="","",IFERROR(COUNTIFS('Auditoria Documental'!$A$7:$A$1000,A12,'Auditoria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2" s="102"/>
    </row>
    <row r="13" ht="14.25" customHeight="1">
      <c r="A13" s="106" t="s">
        <v>2557</v>
      </c>
      <c r="B13" s="39" t="s">
        <v>157</v>
      </c>
      <c r="C13" s="102" t="str">
        <f t="array" ref="C13">IF(B13="","",IFERROR(INDEX('Cadastro Unidades'!$A$6:$A$222,MATCH(B13,'Cadastro Unidades'!$E$6:$E$222,0)),""))</f>
        <v>DABEL</v>
      </c>
      <c r="D13" s="102"/>
      <c r="E13" s="102"/>
      <c r="F13" s="112"/>
      <c r="G13" s="112"/>
      <c r="H13" s="102"/>
      <c r="I13" s="102"/>
      <c r="J13" s="113">
        <f>IF(A13="","",COUNTIF('Auditoria Documental'!$A$7:$A$1000,A13))</f>
        <v>0</v>
      </c>
      <c r="K13" s="113">
        <f>IF(A13="","",COUNTIFS('Auditoria Documental'!$A$7:$A$1000,A13,'Auditoria Documental'!$K$7:$K$1000,"&lt;&gt;Não avaliado",'Auditoria Documental'!$K$7:$K$1000,"&lt;&gt;"))</f>
        <v>0</v>
      </c>
      <c r="L13" s="114">
        <f>IF(A13="","",IFERROR(SUMIFS('Auditoria Documental'!$N$7:$N$1000,'Auditoria Documental'!$A$7:$A$1000,A13)/SUMIFS('Auditoria Documental'!$M$7:$M$1000,'Auditoria Documental'!$A$7:$A$1000,A13),0))</f>
        <v>0</v>
      </c>
      <c r="M13" s="113">
        <f>IF(A13="","",COUNTIFS('Auditoria Documental'!$A$7:$A$1000,A13,'Auditoria Documental'!$J$7:$J$1000,3,'Auditoria Documental'!$K$7:$K$1000,"Não conforme"))</f>
        <v>0</v>
      </c>
      <c r="N13" s="114">
        <f>IF(A13="","",IFERROR(COUNTIFS('Auditoria Documental'!$A$7:$A$1000,A13,'Auditoria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3" s="102"/>
    </row>
    <row r="14" ht="14.25" customHeight="1">
      <c r="A14" s="106" t="s">
        <v>2558</v>
      </c>
      <c r="B14" s="39" t="s">
        <v>167</v>
      </c>
      <c r="C14" s="102" t="str">
        <f t="array" ref="C14">IF(B14="","",IFERROR(INDEX('Cadastro Unidades'!$A$6:$A$222,MATCH(B14,'Cadastro Unidades'!$E$6:$E$222,0)),""))</f>
        <v>DABEL</v>
      </c>
      <c r="D14" s="102"/>
      <c r="E14" s="102"/>
      <c r="F14" s="112"/>
      <c r="G14" s="112"/>
      <c r="H14" s="102"/>
      <c r="I14" s="102"/>
      <c r="J14" s="113">
        <f>IF(A14="","",COUNTIF('Auditoria Documental'!$A$7:$A$1000,A14))</f>
        <v>0</v>
      </c>
      <c r="K14" s="113">
        <f>IF(A14="","",COUNTIFS('Auditoria Documental'!$A$7:$A$1000,A14,'Auditoria Documental'!$K$7:$K$1000,"&lt;&gt;Não avaliado",'Auditoria Documental'!$K$7:$K$1000,"&lt;&gt;"))</f>
        <v>0</v>
      </c>
      <c r="L14" s="114">
        <f>IF(A14="","",IFERROR(SUMIFS('Auditoria Documental'!$N$7:$N$1000,'Auditoria Documental'!$A$7:$A$1000,A14)/SUMIFS('Auditoria Documental'!$M$7:$M$1000,'Auditoria Documental'!$A$7:$A$1000,A14),0))</f>
        <v>0</v>
      </c>
      <c r="M14" s="113">
        <f>IF(A14="","",COUNTIFS('Auditoria Documental'!$A$7:$A$1000,A14,'Auditoria Documental'!$J$7:$J$1000,3,'Auditoria Documental'!$K$7:$K$1000,"Não conforme"))</f>
        <v>0</v>
      </c>
      <c r="N14" s="114">
        <f>IF(A14="","",IFERROR(COUNTIFS('Auditoria Documental'!$A$7:$A$1000,A14,'Auditoria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4" s="102"/>
    </row>
    <row r="15" ht="14.25" customHeight="1">
      <c r="A15" s="106" t="s">
        <v>2559</v>
      </c>
      <c r="B15" s="39" t="s">
        <v>178</v>
      </c>
      <c r="C15" s="102" t="str">
        <f t="array" ref="C15">IF(B15="","",IFERROR(INDEX('Cadastro Unidades'!$A$6:$A$222,MATCH(B15,'Cadastro Unidades'!$E$6:$E$222,0)),""))</f>
        <v>DABEL</v>
      </c>
      <c r="D15" s="102"/>
      <c r="E15" s="102"/>
      <c r="F15" s="112"/>
      <c r="G15" s="112"/>
      <c r="H15" s="102"/>
      <c r="I15" s="102"/>
      <c r="J15" s="113">
        <f>IF(A15="","",COUNTIF('Auditoria Documental'!$A$7:$A$1000,A15))</f>
        <v>0</v>
      </c>
      <c r="K15" s="113">
        <f>IF(A15="","",COUNTIFS('Auditoria Documental'!$A$7:$A$1000,A15,'Auditoria Documental'!$K$7:$K$1000,"&lt;&gt;Não avaliado",'Auditoria Documental'!$K$7:$K$1000,"&lt;&gt;"))</f>
        <v>0</v>
      </c>
      <c r="L15" s="114">
        <f>IF(A15="","",IFERROR(SUMIFS('Auditoria Documental'!$N$7:$N$1000,'Auditoria Documental'!$A$7:$A$1000,A15)/SUMIFS('Auditoria Documental'!$M$7:$M$1000,'Auditoria Documental'!$A$7:$A$1000,A15),0))</f>
        <v>0</v>
      </c>
      <c r="M15" s="113">
        <f>IF(A15="","",COUNTIFS('Auditoria Documental'!$A$7:$A$1000,A15,'Auditoria Documental'!$J$7:$J$1000,3,'Auditoria Documental'!$K$7:$K$1000,"Não conforme"))</f>
        <v>0</v>
      </c>
      <c r="N15" s="114">
        <f>IF(A15="","",IFERROR(COUNTIFS('Auditoria Documental'!$A$7:$A$1000,A15,'Auditoria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5" s="102"/>
    </row>
    <row r="16" ht="14.25" customHeight="1">
      <c r="A16" s="106" t="s">
        <v>2560</v>
      </c>
      <c r="B16" s="39" t="s">
        <v>191</v>
      </c>
      <c r="C16" s="102" t="str">
        <f t="array" ref="C16">IF(B16="","",IFERROR(INDEX('Cadastro Unidades'!$A$6:$A$222,MATCH(B16,'Cadastro Unidades'!$E$6:$E$222,0)),""))</f>
        <v>DABEL</v>
      </c>
      <c r="D16" s="102"/>
      <c r="E16" s="102"/>
      <c r="F16" s="112"/>
      <c r="G16" s="112"/>
      <c r="H16" s="102"/>
      <c r="I16" s="102"/>
      <c r="J16" s="113">
        <f>IF(A16="","",COUNTIF('Auditoria Documental'!$A$7:$A$1000,A16))</f>
        <v>0</v>
      </c>
      <c r="K16" s="113">
        <f>IF(A16="","",COUNTIFS('Auditoria Documental'!$A$7:$A$1000,A16,'Auditoria Documental'!$K$7:$K$1000,"&lt;&gt;Não avaliado",'Auditoria Documental'!$K$7:$K$1000,"&lt;&gt;"))</f>
        <v>0</v>
      </c>
      <c r="L16" s="114">
        <f>IF(A16="","",IFERROR(SUMIFS('Auditoria Documental'!$N$7:$N$1000,'Auditoria Documental'!$A$7:$A$1000,A16)/SUMIFS('Auditoria Documental'!$M$7:$M$1000,'Auditoria Documental'!$A$7:$A$1000,A16),0))</f>
        <v>0</v>
      </c>
      <c r="M16" s="113">
        <f>IF(A16="","",COUNTIFS('Auditoria Documental'!$A$7:$A$1000,A16,'Auditoria Documental'!$J$7:$J$1000,3,'Auditoria Documental'!$K$7:$K$1000,"Não conforme"))</f>
        <v>0</v>
      </c>
      <c r="N16" s="114">
        <f>IF(A16="","",IFERROR(COUNTIFS('Auditoria Documental'!$A$7:$A$1000,A16,'Auditoria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6" s="102"/>
    </row>
    <row r="17" ht="14.25" customHeight="1">
      <c r="A17" s="106" t="s">
        <v>2561</v>
      </c>
      <c r="B17" s="39" t="s">
        <v>201</v>
      </c>
      <c r="C17" s="102" t="str">
        <f t="array" ref="C17">IF(B17="","",IFERROR(INDEX('Cadastro Unidades'!$A$6:$A$222,MATCH(B17,'Cadastro Unidades'!$E$6:$E$222,0)),""))</f>
        <v>DABEL</v>
      </c>
      <c r="D17" s="102"/>
      <c r="E17" s="102"/>
      <c r="F17" s="112"/>
      <c r="G17" s="112"/>
      <c r="H17" s="102"/>
      <c r="I17" s="102"/>
      <c r="J17" s="113">
        <f>IF(A17="","",COUNTIF('Auditoria Documental'!$A$7:$A$1000,A17))</f>
        <v>0</v>
      </c>
      <c r="K17" s="113">
        <f>IF(A17="","",COUNTIFS('Auditoria Documental'!$A$7:$A$1000,A17,'Auditoria Documental'!$K$7:$K$1000,"&lt;&gt;Não avaliado",'Auditoria Documental'!$K$7:$K$1000,"&lt;&gt;"))</f>
        <v>0</v>
      </c>
      <c r="L17" s="114">
        <f>IF(A17="","",IFERROR(SUMIFS('Auditoria Documental'!$N$7:$N$1000,'Auditoria Documental'!$A$7:$A$1000,A17)/SUMIFS('Auditoria Documental'!$M$7:$M$1000,'Auditoria Documental'!$A$7:$A$1000,A17),0))</f>
        <v>0</v>
      </c>
      <c r="M17" s="113">
        <f>IF(A17="","",COUNTIFS('Auditoria Documental'!$A$7:$A$1000,A17,'Auditoria Documental'!$J$7:$J$1000,3,'Auditoria Documental'!$K$7:$K$1000,"Não conforme"))</f>
        <v>0</v>
      </c>
      <c r="N17" s="114">
        <f>IF(A17="","",IFERROR(COUNTIFS('Auditoria Documental'!$A$7:$A$1000,A17,'Auditoria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7" s="102"/>
    </row>
    <row r="18" ht="14.25" customHeight="1">
      <c r="A18" s="106" t="s">
        <v>2562</v>
      </c>
      <c r="B18" s="39" t="s">
        <v>211</v>
      </c>
      <c r="C18" s="102" t="str">
        <f t="array" ref="C18">IF(B18="","",IFERROR(INDEX('Cadastro Unidades'!$A$6:$A$222,MATCH(B18,'Cadastro Unidades'!$E$6:$E$222,0)),""))</f>
        <v>DABEL</v>
      </c>
      <c r="D18" s="102"/>
      <c r="E18" s="102"/>
      <c r="F18" s="112"/>
      <c r="G18" s="112"/>
      <c r="H18" s="102"/>
      <c r="I18" s="102"/>
      <c r="J18" s="113">
        <f>IF(A18="","",COUNTIF('Auditoria Documental'!$A$7:$A$1000,A18))</f>
        <v>0</v>
      </c>
      <c r="K18" s="113">
        <f>IF(A18="","",COUNTIFS('Auditoria Documental'!$A$7:$A$1000,A18,'Auditoria Documental'!$K$7:$K$1000,"&lt;&gt;Não avaliado",'Auditoria Documental'!$K$7:$K$1000,"&lt;&gt;"))</f>
        <v>0</v>
      </c>
      <c r="L18" s="114">
        <f>IF(A18="","",IFERROR(SUMIFS('Auditoria Documental'!$N$7:$N$1000,'Auditoria Documental'!$A$7:$A$1000,A18)/SUMIFS('Auditoria Documental'!$M$7:$M$1000,'Auditoria Documental'!$A$7:$A$1000,A18),0))</f>
        <v>0</v>
      </c>
      <c r="M18" s="113">
        <f>IF(A18="","",COUNTIFS('Auditoria Documental'!$A$7:$A$1000,A18,'Auditoria Documental'!$J$7:$J$1000,3,'Auditoria Documental'!$K$7:$K$1000,"Não conforme"))</f>
        <v>0</v>
      </c>
      <c r="N18" s="114">
        <f>IF(A18="","",IFERROR(COUNTIFS('Auditoria Documental'!$A$7:$A$1000,A18,'Auditoria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8" s="102"/>
    </row>
    <row r="19" ht="14.25" customHeight="1">
      <c r="A19" s="106" t="s">
        <v>2563</v>
      </c>
      <c r="B19" s="39" t="s">
        <v>218</v>
      </c>
      <c r="C19" s="102" t="str">
        <f t="array" ref="C19">IF(B19="","",IFERROR(INDEX('Cadastro Unidades'!$A$6:$A$222,MATCH(B19,'Cadastro Unidades'!$E$6:$E$222,0)),""))</f>
        <v>DABEL</v>
      </c>
      <c r="D19" s="102"/>
      <c r="E19" s="102"/>
      <c r="F19" s="112"/>
      <c r="G19" s="112"/>
      <c r="H19" s="102"/>
      <c r="I19" s="102"/>
      <c r="J19" s="113">
        <f>IF(A19="","",COUNTIF('Auditoria Documental'!$A$7:$A$1000,A19))</f>
        <v>0</v>
      </c>
      <c r="K19" s="113">
        <f>IF(A19="","",COUNTIFS('Auditoria Documental'!$A$7:$A$1000,A19,'Auditoria Documental'!$K$7:$K$1000,"&lt;&gt;Não avaliado",'Auditoria Documental'!$K$7:$K$1000,"&lt;&gt;"))</f>
        <v>0</v>
      </c>
      <c r="L19" s="114">
        <f>IF(A19="","",IFERROR(SUMIFS('Auditoria Documental'!$N$7:$N$1000,'Auditoria Documental'!$A$7:$A$1000,A19)/SUMIFS('Auditoria Documental'!$M$7:$M$1000,'Auditoria Documental'!$A$7:$A$1000,A19),0))</f>
        <v>0</v>
      </c>
      <c r="M19" s="113">
        <f>IF(A19="","",COUNTIFS('Auditoria Documental'!$A$7:$A$1000,A19,'Auditoria Documental'!$J$7:$J$1000,3,'Auditoria Documental'!$K$7:$K$1000,"Não conforme"))</f>
        <v>0</v>
      </c>
      <c r="N19" s="114">
        <f>IF(A19="","",IFERROR(COUNTIFS('Auditoria Documental'!$A$7:$A$1000,A19,'Auditoria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9" s="102"/>
    </row>
    <row r="20" ht="14.25" customHeight="1">
      <c r="A20" s="106" t="s">
        <v>2564</v>
      </c>
      <c r="B20" s="39" t="s">
        <v>229</v>
      </c>
      <c r="C20" s="102" t="str">
        <f t="array" ref="C20">IF(B20="","",IFERROR(INDEX('Cadastro Unidades'!$A$6:$A$222,MATCH(B20,'Cadastro Unidades'!$E$6:$E$222,0)),""))</f>
        <v>DABEL</v>
      </c>
      <c r="D20" s="102"/>
      <c r="E20" s="102"/>
      <c r="F20" s="112"/>
      <c r="G20" s="112"/>
      <c r="H20" s="102"/>
      <c r="I20" s="102"/>
      <c r="J20" s="113">
        <f>IF(A20="","",COUNTIF('Auditoria Documental'!$A$7:$A$1000,A20))</f>
        <v>0</v>
      </c>
      <c r="K20" s="113">
        <f>IF(A20="","",COUNTIFS('Auditoria Documental'!$A$7:$A$1000,A20,'Auditoria Documental'!$K$7:$K$1000,"&lt;&gt;Não avaliado",'Auditoria Documental'!$K$7:$K$1000,"&lt;&gt;"))</f>
        <v>0</v>
      </c>
      <c r="L20" s="114">
        <f>IF(A20="","",IFERROR(SUMIFS('Auditoria Documental'!$N$7:$N$1000,'Auditoria Documental'!$A$7:$A$1000,A20)/SUMIFS('Auditoria Documental'!$M$7:$M$1000,'Auditoria Documental'!$A$7:$A$1000,A20),0))</f>
        <v>0</v>
      </c>
      <c r="M20" s="113">
        <f>IF(A20="","",COUNTIFS('Auditoria Documental'!$A$7:$A$1000,A20,'Auditoria Documental'!$J$7:$J$1000,3,'Auditoria Documental'!$K$7:$K$1000,"Não conforme"))</f>
        <v>0</v>
      </c>
      <c r="N20" s="114">
        <f>IF(A20="","",IFERROR(COUNTIFS('Auditoria Documental'!$A$7:$A$1000,A20,'Auditoria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0" s="102"/>
    </row>
    <row r="21" ht="14.25" customHeight="1">
      <c r="A21" s="106" t="s">
        <v>2565</v>
      </c>
      <c r="B21" s="39" t="s">
        <v>240</v>
      </c>
      <c r="C21" s="102" t="str">
        <f t="array" ref="C21">IF(B21="","",IFERROR(INDEX('Cadastro Unidades'!$A$6:$A$222,MATCH(B21,'Cadastro Unidades'!$E$6:$E$222,0)),""))</f>
        <v>DABEL</v>
      </c>
      <c r="D21" s="102"/>
      <c r="E21" s="102"/>
      <c r="F21" s="112"/>
      <c r="G21" s="112"/>
      <c r="H21" s="102"/>
      <c r="I21" s="102"/>
      <c r="J21" s="113">
        <f>IF(A21="","",COUNTIF('Auditoria Documental'!$A$7:$A$1000,A21))</f>
        <v>0</v>
      </c>
      <c r="K21" s="113">
        <f>IF(A21="","",COUNTIFS('Auditoria Documental'!$A$7:$A$1000,A21,'Auditoria Documental'!$K$7:$K$1000,"&lt;&gt;Não avaliado",'Auditoria Documental'!$K$7:$K$1000,"&lt;&gt;"))</f>
        <v>0</v>
      </c>
      <c r="L21" s="114">
        <f>IF(A21="","",IFERROR(SUMIFS('Auditoria Documental'!$N$7:$N$1000,'Auditoria Documental'!$A$7:$A$1000,A21)/SUMIFS('Auditoria Documental'!$M$7:$M$1000,'Auditoria Documental'!$A$7:$A$1000,A21),0))</f>
        <v>0</v>
      </c>
      <c r="M21" s="113">
        <f>IF(A21="","",COUNTIFS('Auditoria Documental'!$A$7:$A$1000,A21,'Auditoria Documental'!$J$7:$J$1000,3,'Auditoria Documental'!$K$7:$K$1000,"Não conforme"))</f>
        <v>0</v>
      </c>
      <c r="N21" s="114">
        <f>IF(A21="","",IFERROR(COUNTIFS('Auditoria Documental'!$A$7:$A$1000,A21,'Auditoria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1" s="102"/>
    </row>
    <row r="22" ht="14.25" customHeight="1">
      <c r="A22" s="106" t="s">
        <v>2566</v>
      </c>
      <c r="B22" s="39" t="s">
        <v>250</v>
      </c>
      <c r="C22" s="102" t="str">
        <f t="array" ref="C22">IF(B22="","",IFERROR(INDEX('Cadastro Unidades'!$A$6:$A$222,MATCH(B22,'Cadastro Unidades'!$E$6:$E$222,0)),""))</f>
        <v>DABEL</v>
      </c>
      <c r="D22" s="102"/>
      <c r="E22" s="102"/>
      <c r="F22" s="112"/>
      <c r="G22" s="112"/>
      <c r="H22" s="102"/>
      <c r="I22" s="102"/>
      <c r="J22" s="113">
        <f>IF(A22="","",COUNTIF('Auditoria Documental'!$A$7:$A$1000,A22))</f>
        <v>0</v>
      </c>
      <c r="K22" s="113">
        <f>IF(A22="","",COUNTIFS('Auditoria Documental'!$A$7:$A$1000,A22,'Auditoria Documental'!$K$7:$K$1000,"&lt;&gt;Não avaliado",'Auditoria Documental'!$K$7:$K$1000,"&lt;&gt;"))</f>
        <v>0</v>
      </c>
      <c r="L22" s="114">
        <f>IF(A22="","",IFERROR(SUMIFS('Auditoria Documental'!$N$7:$N$1000,'Auditoria Documental'!$A$7:$A$1000,A22)/SUMIFS('Auditoria Documental'!$M$7:$M$1000,'Auditoria Documental'!$A$7:$A$1000,A22),0))</f>
        <v>0</v>
      </c>
      <c r="M22" s="113">
        <f>IF(A22="","",COUNTIFS('Auditoria Documental'!$A$7:$A$1000,A22,'Auditoria Documental'!$J$7:$J$1000,3,'Auditoria Documental'!$K$7:$K$1000,"Não conforme"))</f>
        <v>0</v>
      </c>
      <c r="N22" s="114">
        <f>IF(A22="","",IFERROR(COUNTIFS('Auditoria Documental'!$A$7:$A$1000,A22,'Auditoria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2" s="102"/>
    </row>
    <row r="23" ht="14.25" customHeight="1">
      <c r="A23" s="106" t="s">
        <v>2567</v>
      </c>
      <c r="B23" s="39" t="s">
        <v>260</v>
      </c>
      <c r="C23" s="102" t="str">
        <f t="array" ref="C23">IF(B23="","",IFERROR(INDEX('Cadastro Unidades'!$A$6:$A$222,MATCH(B23,'Cadastro Unidades'!$E$6:$E$222,0)),""))</f>
        <v>DABEN</v>
      </c>
      <c r="D23" s="102"/>
      <c r="E23" s="102"/>
      <c r="F23" s="112"/>
      <c r="G23" s="112"/>
      <c r="H23" s="102"/>
      <c r="I23" s="102"/>
      <c r="J23" s="113">
        <f>IF(A23="","",COUNTIF('Auditoria Documental'!$A$7:$A$1000,A23))</f>
        <v>0</v>
      </c>
      <c r="K23" s="113">
        <f>IF(A23="","",COUNTIFS('Auditoria Documental'!$A$7:$A$1000,A23,'Auditoria Documental'!$K$7:$K$1000,"&lt;&gt;Não avaliado",'Auditoria Documental'!$K$7:$K$1000,"&lt;&gt;"))</f>
        <v>0</v>
      </c>
      <c r="L23" s="114">
        <f>IF(A23="","",IFERROR(SUMIFS('Auditoria Documental'!$N$7:$N$1000,'Auditoria Documental'!$A$7:$A$1000,A23)/SUMIFS('Auditoria Documental'!$M$7:$M$1000,'Auditoria Documental'!$A$7:$A$1000,A23),0))</f>
        <v>0</v>
      </c>
      <c r="M23" s="113">
        <f>IF(A23="","",COUNTIFS('Auditoria Documental'!$A$7:$A$1000,A23,'Auditoria Documental'!$J$7:$J$1000,3,'Auditoria Documental'!$K$7:$K$1000,"Não conforme"))</f>
        <v>0</v>
      </c>
      <c r="N23" s="114">
        <f>IF(A23="","",IFERROR(COUNTIFS('Auditoria Documental'!$A$7:$A$1000,A23,'Auditoria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3" s="102"/>
    </row>
    <row r="24" ht="14.25" customHeight="1">
      <c r="A24" s="106" t="s">
        <v>2568</v>
      </c>
      <c r="B24" s="39" t="s">
        <v>267</v>
      </c>
      <c r="C24" s="102" t="str">
        <f t="array" ref="C24">IF(B24="","",IFERROR(INDEX('Cadastro Unidades'!$A$6:$A$222,MATCH(B24,'Cadastro Unidades'!$E$6:$E$222,0)),""))</f>
        <v>DABEN</v>
      </c>
      <c r="D24" s="102"/>
      <c r="E24" s="102"/>
      <c r="F24" s="112"/>
      <c r="G24" s="112"/>
      <c r="H24" s="102"/>
      <c r="I24" s="102"/>
      <c r="J24" s="113">
        <f>IF(A24="","",COUNTIF('Auditoria Documental'!$A$7:$A$1000,A24))</f>
        <v>0</v>
      </c>
      <c r="K24" s="113">
        <f>IF(A24="","",COUNTIFS('Auditoria Documental'!$A$7:$A$1000,A24,'Auditoria Documental'!$K$7:$K$1000,"&lt;&gt;Não avaliado",'Auditoria Documental'!$K$7:$K$1000,"&lt;&gt;"))</f>
        <v>0</v>
      </c>
      <c r="L24" s="114">
        <f>IF(A24="","",IFERROR(SUMIFS('Auditoria Documental'!$N$7:$N$1000,'Auditoria Documental'!$A$7:$A$1000,A24)/SUMIFS('Auditoria Documental'!$M$7:$M$1000,'Auditoria Documental'!$A$7:$A$1000,A24),0))</f>
        <v>0</v>
      </c>
      <c r="M24" s="113">
        <f>IF(A24="","",COUNTIFS('Auditoria Documental'!$A$7:$A$1000,A24,'Auditoria Documental'!$J$7:$J$1000,3,'Auditoria Documental'!$K$7:$K$1000,"Não conforme"))</f>
        <v>0</v>
      </c>
      <c r="N24" s="114">
        <f>IF(A24="","",IFERROR(COUNTIFS('Auditoria Documental'!$A$7:$A$1000,A24,'Auditoria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4" s="102"/>
    </row>
    <row r="25" ht="14.25" customHeight="1">
      <c r="A25" s="106" t="s">
        <v>2569</v>
      </c>
      <c r="B25" s="39" t="s">
        <v>280</v>
      </c>
      <c r="C25" s="102" t="str">
        <f t="array" ref="C25">IF(B25="","",IFERROR(INDEX('Cadastro Unidades'!$A$6:$A$222,MATCH(B25,'Cadastro Unidades'!$E$6:$E$222,0)),""))</f>
        <v>DABEN</v>
      </c>
      <c r="D25" s="102"/>
      <c r="E25" s="102"/>
      <c r="F25" s="112"/>
      <c r="G25" s="112"/>
      <c r="H25" s="102"/>
      <c r="I25" s="102"/>
      <c r="J25" s="113">
        <f>IF(A25="","",COUNTIF('Auditoria Documental'!$A$7:$A$1000,A25))</f>
        <v>0</v>
      </c>
      <c r="K25" s="113">
        <f>IF(A25="","",COUNTIFS('Auditoria Documental'!$A$7:$A$1000,A25,'Auditoria Documental'!$K$7:$K$1000,"&lt;&gt;Não avaliado",'Auditoria Documental'!$K$7:$K$1000,"&lt;&gt;"))</f>
        <v>0</v>
      </c>
      <c r="L25" s="114">
        <f>IF(A25="","",IFERROR(SUMIFS('Auditoria Documental'!$N$7:$N$1000,'Auditoria Documental'!$A$7:$A$1000,A25)/SUMIFS('Auditoria Documental'!$M$7:$M$1000,'Auditoria Documental'!$A$7:$A$1000,A25),0))</f>
        <v>0</v>
      </c>
      <c r="M25" s="113">
        <f>IF(A25="","",COUNTIFS('Auditoria Documental'!$A$7:$A$1000,A25,'Auditoria Documental'!$J$7:$J$1000,3,'Auditoria Documental'!$K$7:$K$1000,"Não conforme"))</f>
        <v>0</v>
      </c>
      <c r="N25" s="114">
        <f>IF(A25="","",IFERROR(COUNTIFS('Auditoria Documental'!$A$7:$A$1000,A25,'Auditoria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5" s="102"/>
    </row>
    <row r="26" ht="14.25" customHeight="1">
      <c r="A26" s="106" t="s">
        <v>2570</v>
      </c>
      <c r="B26" s="39" t="s">
        <v>291</v>
      </c>
      <c r="C26" s="102" t="str">
        <f t="array" ref="C26">IF(B26="","",IFERROR(INDEX('Cadastro Unidades'!$A$6:$A$222,MATCH(B26,'Cadastro Unidades'!$E$6:$E$222,0)),""))</f>
        <v>DABEN</v>
      </c>
      <c r="D26" s="102"/>
      <c r="E26" s="102"/>
      <c r="F26" s="112"/>
      <c r="G26" s="112"/>
      <c r="H26" s="102"/>
      <c r="I26" s="102"/>
      <c r="J26" s="113">
        <f>IF(A26="","",COUNTIF('Auditoria Documental'!$A$7:$A$1000,A26))</f>
        <v>0</v>
      </c>
      <c r="K26" s="113">
        <f>IF(A26="","",COUNTIFS('Auditoria Documental'!$A$7:$A$1000,A26,'Auditoria Documental'!$K$7:$K$1000,"&lt;&gt;Não avaliado",'Auditoria Documental'!$K$7:$K$1000,"&lt;&gt;"))</f>
        <v>0</v>
      </c>
      <c r="L26" s="114">
        <f>IF(A26="","",IFERROR(SUMIFS('Auditoria Documental'!$N$7:$N$1000,'Auditoria Documental'!$A$7:$A$1000,A26)/SUMIFS('Auditoria Documental'!$M$7:$M$1000,'Auditoria Documental'!$A$7:$A$1000,A26),0))</f>
        <v>0</v>
      </c>
      <c r="M26" s="113">
        <f>IF(A26="","",COUNTIFS('Auditoria Documental'!$A$7:$A$1000,A26,'Auditoria Documental'!$J$7:$J$1000,3,'Auditoria Documental'!$K$7:$K$1000,"Não conforme"))</f>
        <v>0</v>
      </c>
      <c r="N26" s="114">
        <f>IF(A26="","",IFERROR(COUNTIFS('Auditoria Documental'!$A$7:$A$1000,A26,'Auditoria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6" s="102"/>
    </row>
    <row r="27" ht="14.25" customHeight="1">
      <c r="A27" s="106" t="s">
        <v>2571</v>
      </c>
      <c r="B27" s="39" t="s">
        <v>302</v>
      </c>
      <c r="C27" s="102" t="str">
        <f t="array" ref="C27">IF(B27="","",IFERROR(INDEX('Cadastro Unidades'!$A$6:$A$222,MATCH(B27,'Cadastro Unidades'!$E$6:$E$222,0)),""))</f>
        <v>DABEN</v>
      </c>
      <c r="D27" s="102"/>
      <c r="E27" s="102"/>
      <c r="F27" s="112"/>
      <c r="G27" s="112"/>
      <c r="H27" s="102"/>
      <c r="I27" s="102"/>
      <c r="J27" s="113">
        <f>IF(A27="","",COUNTIF('Auditoria Documental'!$A$7:$A$1000,A27))</f>
        <v>0</v>
      </c>
      <c r="K27" s="113">
        <f>IF(A27="","",COUNTIFS('Auditoria Documental'!$A$7:$A$1000,A27,'Auditoria Documental'!$K$7:$K$1000,"&lt;&gt;Não avaliado",'Auditoria Documental'!$K$7:$K$1000,"&lt;&gt;"))</f>
        <v>0</v>
      </c>
      <c r="L27" s="114">
        <f>IF(A27="","",IFERROR(SUMIFS('Auditoria Documental'!$N$7:$N$1000,'Auditoria Documental'!$A$7:$A$1000,A27)/SUMIFS('Auditoria Documental'!$M$7:$M$1000,'Auditoria Documental'!$A$7:$A$1000,A27),0))</f>
        <v>0</v>
      </c>
      <c r="M27" s="113">
        <f>IF(A27="","",COUNTIFS('Auditoria Documental'!$A$7:$A$1000,A27,'Auditoria Documental'!$J$7:$J$1000,3,'Auditoria Documental'!$K$7:$K$1000,"Não conforme"))</f>
        <v>0</v>
      </c>
      <c r="N27" s="114">
        <f>IF(A27="","",IFERROR(COUNTIFS('Auditoria Documental'!$A$7:$A$1000,A27,'Auditoria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7" s="102"/>
    </row>
    <row r="28" ht="14.25" customHeight="1">
      <c r="A28" s="106" t="s">
        <v>2572</v>
      </c>
      <c r="B28" s="39" t="s">
        <v>313</v>
      </c>
      <c r="C28" s="102" t="str">
        <f t="array" ref="C28">IF(B28="","",IFERROR(INDEX('Cadastro Unidades'!$A$6:$A$222,MATCH(B28,'Cadastro Unidades'!$E$6:$E$222,0)),""))</f>
        <v>DABEN</v>
      </c>
      <c r="D28" s="102"/>
      <c r="E28" s="102"/>
      <c r="F28" s="112"/>
      <c r="G28" s="112"/>
      <c r="H28" s="102"/>
      <c r="I28" s="102"/>
      <c r="J28" s="113">
        <f>IF(A28="","",COUNTIF('Auditoria Documental'!$A$7:$A$1000,A28))</f>
        <v>0</v>
      </c>
      <c r="K28" s="113">
        <f>IF(A28="","",COUNTIFS('Auditoria Documental'!$A$7:$A$1000,A28,'Auditoria Documental'!$K$7:$K$1000,"&lt;&gt;Não avaliado",'Auditoria Documental'!$K$7:$K$1000,"&lt;&gt;"))</f>
        <v>0</v>
      </c>
      <c r="L28" s="114">
        <f>IF(A28="","",IFERROR(SUMIFS('Auditoria Documental'!$N$7:$N$1000,'Auditoria Documental'!$A$7:$A$1000,A28)/SUMIFS('Auditoria Documental'!$M$7:$M$1000,'Auditoria Documental'!$A$7:$A$1000,A28),0))</f>
        <v>0</v>
      </c>
      <c r="M28" s="113">
        <f>IF(A28="","",COUNTIFS('Auditoria Documental'!$A$7:$A$1000,A28,'Auditoria Documental'!$J$7:$J$1000,3,'Auditoria Documental'!$K$7:$K$1000,"Não conforme"))</f>
        <v>0</v>
      </c>
      <c r="N28" s="114">
        <f>IF(A28="","",IFERROR(COUNTIFS('Auditoria Documental'!$A$7:$A$1000,A28,'Auditoria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8" s="102"/>
    </row>
    <row r="29" ht="14.25" customHeight="1">
      <c r="A29" s="106" t="s">
        <v>2573</v>
      </c>
      <c r="B29" s="39" t="s">
        <v>320</v>
      </c>
      <c r="C29" s="102" t="str">
        <f t="array" ref="C29">IF(B29="","",IFERROR(INDEX('Cadastro Unidades'!$A$6:$A$222,MATCH(B29,'Cadastro Unidades'!$E$6:$E$222,0)),""))</f>
        <v>DABEN</v>
      </c>
      <c r="D29" s="102"/>
      <c r="E29" s="102"/>
      <c r="F29" s="112"/>
      <c r="G29" s="112"/>
      <c r="H29" s="102"/>
      <c r="I29" s="102"/>
      <c r="J29" s="113">
        <f>IF(A29="","",COUNTIF('Auditoria Documental'!$A$7:$A$1000,A29))</f>
        <v>0</v>
      </c>
      <c r="K29" s="113">
        <f>IF(A29="","",COUNTIFS('Auditoria Documental'!$A$7:$A$1000,A29,'Auditoria Documental'!$K$7:$K$1000,"&lt;&gt;Não avaliado",'Auditoria Documental'!$K$7:$K$1000,"&lt;&gt;"))</f>
        <v>0</v>
      </c>
      <c r="L29" s="114">
        <f>IF(A29="","",IFERROR(SUMIFS('Auditoria Documental'!$N$7:$N$1000,'Auditoria Documental'!$A$7:$A$1000,A29)/SUMIFS('Auditoria Documental'!$M$7:$M$1000,'Auditoria Documental'!$A$7:$A$1000,A29),0))</f>
        <v>0</v>
      </c>
      <c r="M29" s="113">
        <f>IF(A29="","",COUNTIFS('Auditoria Documental'!$A$7:$A$1000,A29,'Auditoria Documental'!$J$7:$J$1000,3,'Auditoria Documental'!$K$7:$K$1000,"Não conforme"))</f>
        <v>0</v>
      </c>
      <c r="N29" s="114">
        <f>IF(A29="","",IFERROR(COUNTIFS('Auditoria Documental'!$A$7:$A$1000,A29,'Auditoria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9" s="102"/>
    </row>
    <row r="30" ht="14.25" customHeight="1">
      <c r="A30" s="106" t="s">
        <v>2574</v>
      </c>
      <c r="B30" s="39" t="s">
        <v>327</v>
      </c>
      <c r="C30" s="102" t="str">
        <f t="array" ref="C30">IF(B30="","",IFERROR(INDEX('Cadastro Unidades'!$A$6:$A$222,MATCH(B30,'Cadastro Unidades'!$E$6:$E$222,0)),""))</f>
        <v>DABEN</v>
      </c>
      <c r="D30" s="102"/>
      <c r="E30" s="102"/>
      <c r="F30" s="112"/>
      <c r="G30" s="112"/>
      <c r="H30" s="102"/>
      <c r="I30" s="102"/>
      <c r="J30" s="113">
        <f>IF(A30="","",COUNTIF('Auditoria Documental'!$A$7:$A$1000,A30))</f>
        <v>0</v>
      </c>
      <c r="K30" s="113">
        <f>IF(A30="","",COUNTIFS('Auditoria Documental'!$A$7:$A$1000,A30,'Auditoria Documental'!$K$7:$K$1000,"&lt;&gt;Não avaliado",'Auditoria Documental'!$K$7:$K$1000,"&lt;&gt;"))</f>
        <v>0</v>
      </c>
      <c r="L30" s="114">
        <f>IF(A30="","",IFERROR(SUMIFS('Auditoria Documental'!$N$7:$N$1000,'Auditoria Documental'!$A$7:$A$1000,A30)/SUMIFS('Auditoria Documental'!$M$7:$M$1000,'Auditoria Documental'!$A$7:$A$1000,A30),0))</f>
        <v>0</v>
      </c>
      <c r="M30" s="113">
        <f>IF(A30="","",COUNTIFS('Auditoria Documental'!$A$7:$A$1000,A30,'Auditoria Documental'!$J$7:$J$1000,3,'Auditoria Documental'!$K$7:$K$1000,"Não conforme"))</f>
        <v>0</v>
      </c>
      <c r="N30" s="114">
        <f>IF(A30="","",IFERROR(COUNTIFS('Auditoria Documental'!$A$7:$A$1000,A30,'Auditoria Documental'!$G$7:$G$1000,"7. Checklist da visita",'Auditoria Documental'!$K$7:$K$1000,"&lt;&gt;Não avaliado",'Auditoria Documental'!$K$7:$K$1000,"&lt;&gt;")/COUNTIF('Lista Mestra'!$B$7:$B$59,"7. Checklist da visita"),0))</f>
        <v>0</v>
      </c>
      <c r="O30" s="102"/>
    </row>
    <row r="31" ht="14.25" customHeight="1">
      <c r="A31" s="106" t="s">
        <v>2575</v>
      </c>
      <c r="B31" s="39" t="s">
        <v>332</v>
      </c>
      <c r="C31" s="102" t="str">
        <f t="array" ref="C31">IF(B31="","",IFERROR(INDEX('Cadastro Unidades'!$A$6:$A$222,MATCH(B31,'Cadastro Unidades'!$E$6:$E$222,0)),""))</f>
        <v>DABEN</v>
      </c>
      <c r="D31" s="102"/>
      <c r="E31" s="102"/>
      <c r="F31" s="112"/>
      <c r="G31" s="112"/>
      <c r="H31" s="102"/>
      <c r="I31" s="102"/>
      <c r="J31" s="113">
        <f>IF(A31="","",COUNTIF('Auditoria Documental'!$A$7:$A$1000,A31))</f>
        <v>0</v>
      </c>
      <c r="K31" s="113">
        <f>IF(A31="","",COUNTIFS('Auditoria Documental'!$A$7:$A$1000,A31,'Auditoria Documental'!$K$7:$K$1000,"&lt;&gt;Não avaliado",'Auditoria Documental'!$K$7:$K$1000,"&lt;&gt;"))</f>
        <v>0</v>
      </c>
      <c r="L31" s="114">
        <f>IF(A31="","",IFERROR(SUMIFS('Auditoria Documental'!$N$7:$N$1000,'Auditoria Documental'!$A$7:$A$1000,A31)/SUMIFS('Auditoria Documental'!$M$7:$M$1000,'Auditoria Documental'!$A$7:$A$1000,A31),0))</f>
        <v>0</v>
      </c>
      <c r="M31" s="113">
        <f>IF(A31="","",COUNTIFS('Auditoria Documental'!$A$7:$A$1000,A31,'Auditoria Documental'!$J$7:$J$1000,3,'Auditoria Documental'!$K$7:$K$1000,"Não conforme"))</f>
        <v>0</v>
      </c>
      <c r="N31" s="114">
        <f>IF(A31="","",IFERROR(COUNTIFS('Auditoria Documental'!$A$7:$A$1000,A31,'Auditoria Documental'!$G$7:$G$1000,"7. Checklist da visita",'Auditoria Documental'!$K$7:$K$1000,"&lt;&gt;Não avaliado",'Auditoria Documental'!$K$7:$K$1000,"&lt;&gt;")/COUNTIF('Lista Mestra'!$B$7:$B$59,"7. Checklist da visita"),0))</f>
        <v>0</v>
      </c>
      <c r="O31" s="102"/>
    </row>
    <row r="32" ht="14.25" customHeight="1">
      <c r="A32" s="106" t="s">
        <v>2576</v>
      </c>
      <c r="B32" s="39" t="s">
        <v>344</v>
      </c>
      <c r="C32" s="102" t="str">
        <f t="array" ref="C32">IF(B32="","",IFERROR(INDEX('Cadastro Unidades'!$A$6:$A$222,MATCH(B32,'Cadastro Unidades'!$E$6:$E$222,0)),""))</f>
        <v>DABEN</v>
      </c>
      <c r="D32" s="102"/>
      <c r="E32" s="102"/>
      <c r="F32" s="112"/>
      <c r="G32" s="112"/>
      <c r="H32" s="102"/>
      <c r="I32" s="102"/>
      <c r="J32" s="113">
        <f>IF(A32="","",COUNTIF('Auditoria Documental'!$A$7:$A$1000,A32))</f>
        <v>0</v>
      </c>
      <c r="K32" s="113">
        <f>IF(A32="","",COUNTIFS('Auditoria Documental'!$A$7:$A$1000,A32,'Auditoria Documental'!$K$7:$K$1000,"&lt;&gt;Não avaliado",'Auditoria Documental'!$K$7:$K$1000,"&lt;&gt;"))</f>
        <v>0</v>
      </c>
      <c r="L32" s="114">
        <f>IF(A32="","",IFERROR(SUMIFS('Auditoria Documental'!$N$7:$N$1000,'Auditoria Documental'!$A$7:$A$1000,A32)/SUMIFS('Auditoria Documental'!$M$7:$M$1000,'Auditoria Documental'!$A$7:$A$1000,A32),0))</f>
        <v>0</v>
      </c>
      <c r="M32" s="113">
        <f>IF(A32="","",COUNTIFS('Auditoria Documental'!$A$7:$A$1000,A32,'Auditoria Documental'!$J$7:$J$1000,3,'Auditoria Documental'!$K$7:$K$1000,"Não conforme"))</f>
        <v>0</v>
      </c>
      <c r="N32" s="114">
        <f>IF(A32="","",IFERROR(COUNTIFS('Auditoria Documental'!$A$7:$A$1000,A32,'Auditoria Documental'!$G$7:$G$1000,"7. Checklist da visita",'Auditoria Documental'!$K$7:$K$1000,"&lt;&gt;Não avaliado",'Auditoria Documental'!$K$7:$K$1000,"&lt;&gt;")/COUNTIF('Lista Mestra'!$B$7:$B$59,"7. Checklist da visita"),0))</f>
        <v>0</v>
      </c>
      <c r="O32" s="102"/>
    </row>
    <row r="33" ht="14.25" customHeight="1">
      <c r="A33" s="106" t="s">
        <v>2577</v>
      </c>
      <c r="B33" s="39" t="s">
        <v>356</v>
      </c>
      <c r="C33" s="102" t="str">
        <f t="array" ref="C33">IF(B33="","",IFERROR(INDEX('Cadastro Unidades'!$A$6:$A$222,MATCH(B33,'Cadastro Unidades'!$E$6:$E$222,0)),""))</f>
        <v>DABEN</v>
      </c>
      <c r="D33" s="102"/>
      <c r="E33" s="102"/>
      <c r="F33" s="112"/>
      <c r="G33" s="112"/>
      <c r="H33" s="102"/>
      <c r="I33" s="102"/>
      <c r="J33" s="113">
        <f>IF(A33="","",COUNTIF('Auditoria Documental'!$A$7:$A$1000,A33))</f>
        <v>0</v>
      </c>
      <c r="K33" s="113">
        <f>IF(A33="","",COUNTIFS('Auditoria Documental'!$A$7:$A$1000,A33,'Auditoria Documental'!$K$7:$K$1000,"&lt;&gt;Não avaliado",'Auditoria Documental'!$K$7:$K$1000,"&lt;&gt;"))</f>
        <v>0</v>
      </c>
      <c r="L33" s="114">
        <f>IF(A33="","",IFERROR(SUMIFS('Auditoria Documental'!$N$7:$N$1000,'Auditoria Documental'!$A$7:$A$1000,A33)/SUMIFS('Auditoria Documental'!$M$7:$M$1000,'Auditoria Documental'!$A$7:$A$1000,A33),0))</f>
        <v>0</v>
      </c>
      <c r="M33" s="113">
        <f>IF(A33="","",COUNTIFS('Auditoria Documental'!$A$7:$A$1000,A33,'Auditoria Documental'!$J$7:$J$1000,3,'Auditoria Documental'!$K$7:$K$1000,"Não conforme"))</f>
        <v>0</v>
      </c>
      <c r="N33" s="114">
        <f>IF(A33="","",IFERROR(COUNTIFS('Auditoria Documental'!$A$7:$A$1000,A33,'Auditoria Documental'!$G$7:$G$1000,"7. Checklist da visita",'Auditoria Documental'!$K$7:$K$1000,"&lt;&gt;Não avaliado",'Auditoria Documental'!$K$7:$K$1000,"&lt;&gt;")/COUNTIF('Lista Mestra'!$B$7:$B$59,"7. Checklist da visita"),0))</f>
        <v>0</v>
      </c>
      <c r="O33" s="102"/>
    </row>
    <row r="34" ht="14.25" customHeight="1">
      <c r="A34" s="106" t="s">
        <v>2578</v>
      </c>
      <c r="B34" s="39" t="s">
        <v>367</v>
      </c>
      <c r="C34" s="102" t="str">
        <f t="array" ref="C34">IF(B34="","",IFERROR(INDEX('Cadastro Unidades'!$A$6:$A$222,MATCH(B34,'Cadastro Unidades'!$E$6:$E$222,0)),""))</f>
        <v>DABEN</v>
      </c>
      <c r="D34" s="102"/>
      <c r="E34" s="102"/>
      <c r="F34" s="112"/>
      <c r="G34" s="112"/>
      <c r="H34" s="102"/>
      <c r="I34" s="102"/>
      <c r="J34" s="113">
        <f>IF(A34="","",COUNTIF('Auditoria Documental'!$A$7:$A$1000,A34))</f>
        <v>0</v>
      </c>
      <c r="K34" s="113">
        <f>IF(A34="","",COUNTIFS('Auditoria Documental'!$A$7:$A$1000,A34,'Auditoria Documental'!$K$7:$K$1000,"&lt;&gt;Não avaliado",'Auditoria Documental'!$K$7:$K$1000,"&lt;&gt;"))</f>
        <v>0</v>
      </c>
      <c r="L34" s="114">
        <f>IF(A34="","",IFERROR(SUMIFS('Auditoria Documental'!$N$7:$N$1000,'Auditoria Documental'!$A$7:$A$1000,A34)/SUMIFS('Auditoria Documental'!$M$7:$M$1000,'Auditoria Documental'!$A$7:$A$1000,A34),0))</f>
        <v>0</v>
      </c>
      <c r="M34" s="113">
        <f>IF(A34="","",COUNTIFS('Auditoria Documental'!$A$7:$A$1000,A34,'Auditoria Documental'!$J$7:$J$1000,3,'Auditoria Documental'!$K$7:$K$1000,"Não conforme"))</f>
        <v>0</v>
      </c>
      <c r="N34" s="114">
        <f>IF(A34="","",IFERROR(COUNTIFS('Auditoria Documental'!$A$7:$A$1000,A34,'Auditoria Documental'!$G$7:$G$1000,"7. Checklist da visita",'Auditoria Documental'!$K$7:$K$1000,"&lt;&gt;Não avaliado",'Auditoria Documental'!$K$7:$K$1000,"&lt;&gt;")/COUNTIF('Lista Mestra'!$B$7:$B$59,"7. Checklist da visita"),0))</f>
        <v>0</v>
      </c>
      <c r="O34" s="102"/>
    </row>
    <row r="35" ht="14.25" customHeight="1">
      <c r="A35" s="106" t="s">
        <v>2579</v>
      </c>
      <c r="B35" s="39" t="s">
        <v>378</v>
      </c>
      <c r="C35" s="102" t="str">
        <f t="array" ref="C35">IF(B35="","",IFERROR(INDEX('Cadastro Unidades'!$A$6:$A$222,MATCH(B35,'Cadastro Unidades'!$E$6:$E$222,0)),""))</f>
        <v>DABEN</v>
      </c>
      <c r="D35" s="102"/>
      <c r="E35" s="102"/>
      <c r="F35" s="112"/>
      <c r="G35" s="112"/>
      <c r="H35" s="102"/>
      <c r="I35" s="102"/>
      <c r="J35" s="113">
        <f>IF(A35="","",COUNTIF('Auditoria Documental'!$A$7:$A$1000,A35))</f>
        <v>0</v>
      </c>
      <c r="K35" s="113">
        <f>IF(A35="","",COUNTIFS('Auditoria Documental'!$A$7:$A$1000,A35,'Auditoria Documental'!$K$7:$K$1000,"&lt;&gt;Não avaliado",'Auditoria Documental'!$K$7:$K$1000,"&lt;&gt;"))</f>
        <v>0</v>
      </c>
      <c r="L35" s="114">
        <f>IF(A35="","",IFERROR(SUMIFS('Auditoria Documental'!$N$7:$N$1000,'Auditoria Documental'!$A$7:$A$1000,A35)/SUMIFS('Auditoria Documental'!$M$7:$M$1000,'Auditoria Documental'!$A$7:$A$1000,A35),0))</f>
        <v>0</v>
      </c>
      <c r="M35" s="113">
        <f>IF(A35="","",COUNTIFS('Auditoria Documental'!$A$7:$A$1000,A35,'Auditoria Documental'!$J$7:$J$1000,3,'Auditoria Documental'!$K$7:$K$1000,"Não conforme"))</f>
        <v>0</v>
      </c>
      <c r="N35" s="114">
        <f>IF(A35="","",IFERROR(COUNTIFS('Auditoria Documental'!$A$7:$A$1000,A35,'Auditoria Documental'!$G$7:$G$1000,"7. Checklist da visita",'Auditoria Documental'!$K$7:$K$1000,"&lt;&gt;Não avaliado",'Auditoria Documental'!$K$7:$K$1000,"&lt;&gt;")/COUNTIF('Lista Mestra'!$B$7:$B$59,"7. Checklist da visita"),0))</f>
        <v>0</v>
      </c>
      <c r="O35" s="102"/>
    </row>
    <row r="36" ht="14.25" customHeight="1">
      <c r="A36" s="106" t="s">
        <v>2580</v>
      </c>
      <c r="B36" s="39" t="s">
        <v>389</v>
      </c>
      <c r="C36" s="102" t="str">
        <f t="array" ref="C36">IF(B36="","",IFERROR(INDEX('Cadastro Unidades'!$A$6:$A$222,MATCH(B36,'Cadastro Unidades'!$E$6:$E$222,0)),""))</f>
        <v>DABEN</v>
      </c>
      <c r="D36" s="102"/>
      <c r="E36" s="102"/>
      <c r="F36" s="112"/>
      <c r="G36" s="112"/>
      <c r="H36" s="102"/>
      <c r="I36" s="102"/>
      <c r="J36" s="113">
        <f>IF(A36="","",COUNTIF('Auditoria Documental'!$A$7:$A$1000,A36))</f>
        <v>0</v>
      </c>
      <c r="K36" s="113">
        <f>IF(A36="","",COUNTIFS('Auditoria Documental'!$A$7:$A$1000,A36,'Auditoria Documental'!$K$7:$K$1000,"&lt;&gt;Não avaliado",'Auditoria Documental'!$K$7:$K$1000,"&lt;&gt;"))</f>
        <v>0</v>
      </c>
      <c r="L36" s="114">
        <f>IF(A36="","",IFERROR(SUMIFS('Auditoria Documental'!$N$7:$N$1000,'Auditoria Documental'!$A$7:$A$1000,A36)/SUMIFS('Auditoria Documental'!$M$7:$M$1000,'Auditoria Documental'!$A$7:$A$1000,A36),0))</f>
        <v>0</v>
      </c>
      <c r="M36" s="113">
        <f>IF(A36="","",COUNTIFS('Auditoria Documental'!$A$7:$A$1000,A36,'Auditoria Documental'!$J$7:$J$1000,3,'Auditoria Documental'!$K$7:$K$1000,"Não conforme"))</f>
        <v>0</v>
      </c>
      <c r="N36" s="114">
        <f>IF(A36="","",IFERROR(COUNTIFS('Auditoria Documental'!$A$7:$A$1000,A36,'Auditoria Documental'!$G$7:$G$1000,"7. Checklist da visita",'Auditoria Documental'!$K$7:$K$1000,"&lt;&gt;Não avaliado",'Auditoria Documental'!$K$7:$K$1000,"&lt;&gt;")/COUNTIF('Lista Mestra'!$B$7:$B$59,"7. Checklist da visita"),0))</f>
        <v>0</v>
      </c>
      <c r="O36" s="102"/>
    </row>
    <row r="37" ht="14.25" customHeight="1">
      <c r="A37" s="106" t="s">
        <v>2581</v>
      </c>
      <c r="B37" s="39" t="s">
        <v>401</v>
      </c>
      <c r="C37" s="102" t="str">
        <f t="array" ref="C37">IF(B37="","",IFERROR(INDEX('Cadastro Unidades'!$A$6:$A$222,MATCH(B37,'Cadastro Unidades'!$E$6:$E$222,0)),""))</f>
        <v>DABEN</v>
      </c>
      <c r="D37" s="102"/>
      <c r="E37" s="102"/>
      <c r="F37" s="112"/>
      <c r="G37" s="112"/>
      <c r="H37" s="102"/>
      <c r="I37" s="102"/>
      <c r="J37" s="113">
        <f>IF(A37="","",COUNTIF('Auditoria Documental'!$A$7:$A$1000,A37))</f>
        <v>0</v>
      </c>
      <c r="K37" s="113">
        <f>IF(A37="","",COUNTIFS('Auditoria Documental'!$A$7:$A$1000,A37,'Auditoria Documental'!$K$7:$K$1000,"&lt;&gt;Não avaliado",'Auditoria Documental'!$K$7:$K$1000,"&lt;&gt;"))</f>
        <v>0</v>
      </c>
      <c r="L37" s="114">
        <f>IF(A37="","",IFERROR(SUMIFS('Auditoria Documental'!$N$7:$N$1000,'Auditoria Documental'!$A$7:$A$1000,A37)/SUMIFS('Auditoria Documental'!$M$7:$M$1000,'Auditoria Documental'!$A$7:$A$1000,A37),0))</f>
        <v>0</v>
      </c>
      <c r="M37" s="113">
        <f>IF(A37="","",COUNTIFS('Auditoria Documental'!$A$7:$A$1000,A37,'Auditoria Documental'!$J$7:$J$1000,3,'Auditoria Documental'!$K$7:$K$1000,"Não conforme"))</f>
        <v>0</v>
      </c>
      <c r="N37" s="114">
        <f>IF(A37="","",IFERROR(COUNTIFS('Auditoria Documental'!$A$7:$A$1000,A37,'Auditoria Documental'!$G$7:$G$1000,"7. Checklist da visita",'Auditoria Documental'!$K$7:$K$1000,"&lt;&gt;Não avaliado",'Auditoria Documental'!$K$7:$K$1000,"&lt;&gt;")/COUNTIF('Lista Mestra'!$B$7:$B$59,"7. Checklist da visita"),0))</f>
        <v>0</v>
      </c>
      <c r="O37" s="102"/>
    </row>
    <row r="38" ht="14.25" customHeight="1">
      <c r="A38" s="106" t="s">
        <v>2582</v>
      </c>
      <c r="B38" s="39" t="s">
        <v>412</v>
      </c>
      <c r="C38" s="102" t="str">
        <f t="array" ref="C38">IF(B38="","",IFERROR(INDEX('Cadastro Unidades'!$A$6:$A$222,MATCH(B38,'Cadastro Unidades'!$E$6:$E$222,0)),""))</f>
        <v>DABEN</v>
      </c>
      <c r="D38" s="102"/>
      <c r="E38" s="102"/>
      <c r="F38" s="112"/>
      <c r="G38" s="112"/>
      <c r="H38" s="102"/>
      <c r="I38" s="102"/>
      <c r="J38" s="113">
        <f>IF(A38="","",COUNTIF('Auditoria Documental'!$A$7:$A$1000,A38))</f>
        <v>0</v>
      </c>
      <c r="K38" s="113">
        <f>IF(A38="","",COUNTIFS('Auditoria Documental'!$A$7:$A$1000,A38,'Auditoria Documental'!$K$7:$K$1000,"&lt;&gt;Não avaliado",'Auditoria Documental'!$K$7:$K$1000,"&lt;&gt;"))</f>
        <v>0</v>
      </c>
      <c r="L38" s="114">
        <f>IF(A38="","",IFERROR(SUMIFS('Auditoria Documental'!$N$7:$N$1000,'Auditoria Documental'!$A$7:$A$1000,A38)/SUMIFS('Auditoria Documental'!$M$7:$M$1000,'Auditoria Documental'!$A$7:$A$1000,A38),0))</f>
        <v>0</v>
      </c>
      <c r="M38" s="113">
        <f>IF(A38="","",COUNTIFS('Auditoria Documental'!$A$7:$A$1000,A38,'Auditoria Documental'!$J$7:$J$1000,3,'Auditoria Documental'!$K$7:$K$1000,"Não conforme"))</f>
        <v>0</v>
      </c>
      <c r="N38" s="114">
        <f>IF(A38="","",IFERROR(COUNTIFS('Auditoria Documental'!$A$7:$A$1000,A38,'Auditoria Documental'!$G$7:$G$1000,"7. Checklist da visita",'Auditoria Documental'!$K$7:$K$1000,"&lt;&gt;Não avaliado",'Auditoria Documental'!$K$7:$K$1000,"&lt;&gt;")/COUNTIF('Lista Mestra'!$B$7:$B$59,"7. Checklist da visita"),0))</f>
        <v>0</v>
      </c>
      <c r="O38" s="102"/>
    </row>
    <row r="39" ht="14.25" customHeight="1">
      <c r="A39" s="106" t="s">
        <v>2583</v>
      </c>
      <c r="B39" s="39" t="s">
        <v>424</v>
      </c>
      <c r="C39" s="102" t="str">
        <f t="array" ref="C39">IF(B39="","",IFERROR(INDEX('Cadastro Unidades'!$A$6:$A$222,MATCH(B39,'Cadastro Unidades'!$E$6:$E$222,0)),""))</f>
        <v>DABEN</v>
      </c>
      <c r="D39" s="102"/>
      <c r="E39" s="102"/>
      <c r="F39" s="112"/>
      <c r="G39" s="112"/>
      <c r="H39" s="102"/>
      <c r="I39" s="102"/>
      <c r="J39" s="113">
        <f>IF(A39="","",COUNTIF('Auditoria Documental'!$A$7:$A$1000,A39))</f>
        <v>0</v>
      </c>
      <c r="K39" s="113">
        <f>IF(A39="","",COUNTIFS('Auditoria Documental'!$A$7:$A$1000,A39,'Auditoria Documental'!$K$7:$K$1000,"&lt;&gt;Não avaliado",'Auditoria Documental'!$K$7:$K$1000,"&lt;&gt;"))</f>
        <v>0</v>
      </c>
      <c r="L39" s="114">
        <f>IF(A39="","",IFERROR(SUMIFS('Auditoria Documental'!$N$7:$N$1000,'Auditoria Documental'!$A$7:$A$1000,A39)/SUMIFS('Auditoria Documental'!$M$7:$M$1000,'Auditoria Documental'!$A$7:$A$1000,A39),0))</f>
        <v>0</v>
      </c>
      <c r="M39" s="113">
        <f>IF(A39="","",COUNTIFS('Auditoria Documental'!$A$7:$A$1000,A39,'Auditoria Documental'!$J$7:$J$1000,3,'Auditoria Documental'!$K$7:$K$1000,"Não conforme"))</f>
        <v>0</v>
      </c>
      <c r="N39" s="114">
        <f>IF(A39="","",IFERROR(COUNTIFS('Auditoria Documental'!$A$7:$A$1000,A39,'Auditoria Documental'!$G$7:$G$1000,"7. Checklist da visita",'Auditoria Documental'!$K$7:$K$1000,"&lt;&gt;Não avaliado",'Auditoria Documental'!$K$7:$K$1000,"&lt;&gt;")/COUNTIF('Lista Mestra'!$B$7:$B$59,"7. Checklist da visita"),0))</f>
        <v>0</v>
      </c>
      <c r="O39" s="102"/>
    </row>
    <row r="40" ht="14.25" customHeight="1">
      <c r="A40" s="106" t="s">
        <v>2584</v>
      </c>
      <c r="B40" s="39" t="s">
        <v>431</v>
      </c>
      <c r="C40" s="102" t="str">
        <f t="array" ref="C40">IF(B40="","",IFERROR(INDEX('Cadastro Unidades'!$A$6:$A$222,MATCH(B40,'Cadastro Unidades'!$E$6:$E$222,0)),""))</f>
        <v>DABEN</v>
      </c>
      <c r="D40" s="102"/>
      <c r="E40" s="102"/>
      <c r="F40" s="112"/>
      <c r="G40" s="112"/>
      <c r="H40" s="102"/>
      <c r="I40" s="102"/>
      <c r="J40" s="113">
        <f>IF(A40="","",COUNTIF('Auditoria Documental'!$A$7:$A$1000,A40))</f>
        <v>0</v>
      </c>
      <c r="K40" s="113">
        <f>IF(A40="","",COUNTIFS('Auditoria Documental'!$A$7:$A$1000,A40,'Auditoria Documental'!$K$7:$K$1000,"&lt;&gt;Não avaliado",'Auditoria Documental'!$K$7:$K$1000,"&lt;&gt;"))</f>
        <v>0</v>
      </c>
      <c r="L40" s="114">
        <f>IF(A40="","",IFERROR(SUMIFS('Auditoria Documental'!$N$7:$N$1000,'Auditoria Documental'!$A$7:$A$1000,A40)/SUMIFS('Auditoria Documental'!$M$7:$M$1000,'Auditoria Documental'!$A$7:$A$1000,A40),0))</f>
        <v>0</v>
      </c>
      <c r="M40" s="113">
        <f>IF(A40="","",COUNTIFS('Auditoria Documental'!$A$7:$A$1000,A40,'Auditoria Documental'!$J$7:$J$1000,3,'Auditoria Documental'!$K$7:$K$1000,"Não conforme"))</f>
        <v>0</v>
      </c>
      <c r="N40" s="114">
        <f>IF(A40="","",IFERROR(COUNTIFS('Auditoria Documental'!$A$7:$A$1000,A40,'Auditoria Documental'!$G$7:$G$1000,"7. Checklist da visita",'Auditoria Documental'!$K$7:$K$1000,"&lt;&gt;Não avaliado",'Auditoria Documental'!$K$7:$K$1000,"&lt;&gt;")/COUNTIF('Lista Mestra'!$B$7:$B$59,"7. Checklist da visita"),0))</f>
        <v>0</v>
      </c>
      <c r="O40" s="102"/>
    </row>
    <row r="41" ht="14.25" customHeight="1">
      <c r="A41" s="106" t="s">
        <v>2585</v>
      </c>
      <c r="B41" s="39" t="s">
        <v>441</v>
      </c>
      <c r="C41" s="102" t="str">
        <f t="array" ref="C41">IF(B41="","",IFERROR(INDEX('Cadastro Unidades'!$A$6:$A$222,MATCH(B41,'Cadastro Unidades'!$E$6:$E$222,0)),""))</f>
        <v>DABEN</v>
      </c>
      <c r="D41" s="102"/>
      <c r="E41" s="102"/>
      <c r="F41" s="112"/>
      <c r="G41" s="112"/>
      <c r="H41" s="102"/>
      <c r="I41" s="102"/>
      <c r="J41" s="113">
        <f>IF(A41="","",COUNTIF('Auditoria Documental'!$A$7:$A$1000,A41))</f>
        <v>0</v>
      </c>
      <c r="K41" s="113">
        <f>IF(A41="","",COUNTIFS('Auditoria Documental'!$A$7:$A$1000,A41,'Auditoria Documental'!$K$7:$K$1000,"&lt;&gt;Não avaliado",'Auditoria Documental'!$K$7:$K$1000,"&lt;&gt;"))</f>
        <v>0</v>
      </c>
      <c r="L41" s="114">
        <f>IF(A41="","",IFERROR(SUMIFS('Auditoria Documental'!$N$7:$N$1000,'Auditoria Documental'!$A$7:$A$1000,A41)/SUMIFS('Auditoria Documental'!$M$7:$M$1000,'Auditoria Documental'!$A$7:$A$1000,A41),0))</f>
        <v>0</v>
      </c>
      <c r="M41" s="113">
        <f>IF(A41="","",COUNTIFS('Auditoria Documental'!$A$7:$A$1000,A41,'Auditoria Documental'!$J$7:$J$1000,3,'Auditoria Documental'!$K$7:$K$1000,"Não conforme"))</f>
        <v>0</v>
      </c>
      <c r="N41" s="114">
        <f>IF(A41="","",IFERROR(COUNTIFS('Auditoria Documental'!$A$7:$A$1000,A41,'Auditoria Documental'!$G$7:$G$1000,"7. Checklist da visita",'Auditoria Documental'!$K$7:$K$1000,"&lt;&gt;Não avaliado",'Auditoria Documental'!$K$7:$K$1000,"&lt;&gt;")/COUNTIF('Lista Mestra'!$B$7:$B$59,"7. Checklist da visita"),0))</f>
        <v>0</v>
      </c>
      <c r="O41" s="102"/>
    </row>
    <row r="42" ht="14.25" customHeight="1">
      <c r="A42" s="106" t="s">
        <v>2586</v>
      </c>
      <c r="B42" s="39" t="s">
        <v>451</v>
      </c>
      <c r="C42" s="102" t="str">
        <f t="array" ref="C42">IF(B42="","",IFERROR(INDEX('Cadastro Unidades'!$A$6:$A$222,MATCH(B42,'Cadastro Unidades'!$E$6:$E$222,0)),""))</f>
        <v>DABEN</v>
      </c>
      <c r="D42" s="102"/>
      <c r="E42" s="102"/>
      <c r="F42" s="112"/>
      <c r="G42" s="112"/>
      <c r="H42" s="102"/>
      <c r="I42" s="102"/>
      <c r="J42" s="113">
        <f>IF(A42="","",COUNTIF('Auditoria Documental'!$A$7:$A$1000,A42))</f>
        <v>0</v>
      </c>
      <c r="K42" s="113">
        <f>IF(A42="","",COUNTIFS('Auditoria Documental'!$A$7:$A$1000,A42,'Auditoria Documental'!$K$7:$K$1000,"&lt;&gt;Não avaliado",'Auditoria Documental'!$K$7:$K$1000,"&lt;&gt;"))</f>
        <v>0</v>
      </c>
      <c r="L42" s="114">
        <f>IF(A42="","",IFERROR(SUMIFS('Auditoria Documental'!$N$7:$N$1000,'Auditoria Documental'!$A$7:$A$1000,A42)/SUMIFS('Auditoria Documental'!$M$7:$M$1000,'Auditoria Documental'!$A$7:$A$1000,A42),0))</f>
        <v>0</v>
      </c>
      <c r="M42" s="113">
        <f>IF(A42="","",COUNTIFS('Auditoria Documental'!$A$7:$A$1000,A42,'Auditoria Documental'!$J$7:$J$1000,3,'Auditoria Documental'!$K$7:$K$1000,"Não conforme"))</f>
        <v>0</v>
      </c>
      <c r="N42" s="114">
        <f>IF(A42="","",IFERROR(COUNTIFS('Auditoria Documental'!$A$7:$A$1000,A42,'Auditoria Documental'!$G$7:$G$1000,"7. Checklist da visita",'Auditoria Documental'!$K$7:$K$1000,"&lt;&gt;Não avaliado",'Auditoria Documental'!$K$7:$K$1000,"&lt;&gt;")/COUNTIF('Lista Mestra'!$B$7:$B$59,"7. Checklist da visita"),0))</f>
        <v>0</v>
      </c>
      <c r="O42" s="102"/>
    </row>
    <row r="43" ht="14.25" customHeight="1">
      <c r="A43" s="106" t="s">
        <v>2587</v>
      </c>
      <c r="B43" s="39" t="s">
        <v>461</v>
      </c>
      <c r="C43" s="102" t="str">
        <f t="array" ref="C43">IF(B43="","",IFERROR(INDEX('Cadastro Unidades'!$A$6:$A$222,MATCH(B43,'Cadastro Unidades'!$E$6:$E$222,0)),""))</f>
        <v>DABEN</v>
      </c>
      <c r="D43" s="102"/>
      <c r="E43" s="102"/>
      <c r="F43" s="112"/>
      <c r="G43" s="112"/>
      <c r="H43" s="102"/>
      <c r="I43" s="102"/>
      <c r="J43" s="113">
        <f>IF(A43="","",COUNTIF('Auditoria Documental'!$A$7:$A$1000,A43))</f>
        <v>0</v>
      </c>
      <c r="K43" s="113">
        <f>IF(A43="","",COUNTIFS('Auditoria Documental'!$A$7:$A$1000,A43,'Auditoria Documental'!$K$7:$K$1000,"&lt;&gt;Não avaliado",'Auditoria Documental'!$K$7:$K$1000,"&lt;&gt;"))</f>
        <v>0</v>
      </c>
      <c r="L43" s="114">
        <f>IF(A43="","",IFERROR(SUMIFS('Auditoria Documental'!$N$7:$N$1000,'Auditoria Documental'!$A$7:$A$1000,A43)/SUMIFS('Auditoria Documental'!$M$7:$M$1000,'Auditoria Documental'!$A$7:$A$1000,A43),0))</f>
        <v>0</v>
      </c>
      <c r="M43" s="113">
        <f>IF(A43="","",COUNTIFS('Auditoria Documental'!$A$7:$A$1000,A43,'Auditoria Documental'!$J$7:$J$1000,3,'Auditoria Documental'!$K$7:$K$1000,"Não conforme"))</f>
        <v>0</v>
      </c>
      <c r="N43" s="114">
        <f>IF(A43="","",IFERROR(COUNTIFS('Auditoria Documental'!$A$7:$A$1000,A43,'Auditoria Documental'!$G$7:$G$1000,"7. Checklist da visita",'Auditoria Documental'!$K$7:$K$1000,"&lt;&gt;Não avaliado",'Auditoria Documental'!$K$7:$K$1000,"&lt;&gt;")/COUNTIF('Lista Mestra'!$B$7:$B$59,"7. Checklist da visita"),0))</f>
        <v>0</v>
      </c>
      <c r="O43" s="102"/>
    </row>
    <row r="44" ht="14.25" customHeight="1">
      <c r="A44" s="106" t="s">
        <v>2588</v>
      </c>
      <c r="B44" s="39" t="s">
        <v>471</v>
      </c>
      <c r="C44" s="102" t="str">
        <f t="array" ref="C44">IF(B44="","",IFERROR(INDEX('Cadastro Unidades'!$A$6:$A$222,MATCH(B44,'Cadastro Unidades'!$E$6:$E$222,0)),""))</f>
        <v>DABEN</v>
      </c>
      <c r="D44" s="102"/>
      <c r="E44" s="102"/>
      <c r="F44" s="112"/>
      <c r="G44" s="112"/>
      <c r="H44" s="102"/>
      <c r="I44" s="102"/>
      <c r="J44" s="113">
        <f>IF(A44="","",COUNTIF('Auditoria Documental'!$A$7:$A$1000,A44))</f>
        <v>0</v>
      </c>
      <c r="K44" s="113">
        <f>IF(A44="","",COUNTIFS('Auditoria Documental'!$A$7:$A$1000,A44,'Auditoria Documental'!$K$7:$K$1000,"&lt;&gt;Não avaliado",'Auditoria Documental'!$K$7:$K$1000,"&lt;&gt;"))</f>
        <v>0</v>
      </c>
      <c r="L44" s="114">
        <f>IF(A44="","",IFERROR(SUMIFS('Auditoria Documental'!$N$7:$N$1000,'Auditoria Documental'!$A$7:$A$1000,A44)/SUMIFS('Auditoria Documental'!$M$7:$M$1000,'Auditoria Documental'!$A$7:$A$1000,A44),0))</f>
        <v>0</v>
      </c>
      <c r="M44" s="113">
        <f>IF(A44="","",COUNTIFS('Auditoria Documental'!$A$7:$A$1000,A44,'Auditoria Documental'!$J$7:$J$1000,3,'Auditoria Documental'!$K$7:$K$1000,"Não conforme"))</f>
        <v>0</v>
      </c>
      <c r="N44" s="114">
        <f>IF(A44="","",IFERROR(COUNTIFS('Auditoria Documental'!$A$7:$A$1000,A44,'Auditoria Documental'!$G$7:$G$1000,"7. Checklist da visita",'Auditoria Documental'!$K$7:$K$1000,"&lt;&gt;Não avaliado",'Auditoria Documental'!$K$7:$K$1000,"&lt;&gt;")/COUNTIF('Lista Mestra'!$B$7:$B$59,"7. Checklist da visita"),0))</f>
        <v>0</v>
      </c>
      <c r="O44" s="102"/>
    </row>
    <row r="45" ht="14.25" customHeight="1">
      <c r="A45" s="106" t="s">
        <v>2589</v>
      </c>
      <c r="B45" s="39" t="s">
        <v>479</v>
      </c>
      <c r="C45" s="102" t="str">
        <f t="array" ref="C45">IF(B45="","",IFERROR(INDEX('Cadastro Unidades'!$A$6:$A$222,MATCH(B45,'Cadastro Unidades'!$E$6:$E$222,0)),""))</f>
        <v>DABEN</v>
      </c>
      <c r="D45" s="102"/>
      <c r="E45" s="102"/>
      <c r="F45" s="112"/>
      <c r="G45" s="112"/>
      <c r="H45" s="102"/>
      <c r="I45" s="102"/>
      <c r="J45" s="113">
        <f>IF(A45="","",COUNTIF('Auditoria Documental'!$A$7:$A$1000,A45))</f>
        <v>0</v>
      </c>
      <c r="K45" s="113">
        <f>IF(A45="","",COUNTIFS('Auditoria Documental'!$A$7:$A$1000,A45,'Auditoria Documental'!$K$7:$K$1000,"&lt;&gt;Não avaliado",'Auditoria Documental'!$K$7:$K$1000,"&lt;&gt;"))</f>
        <v>0</v>
      </c>
      <c r="L45" s="114">
        <f>IF(A45="","",IFERROR(SUMIFS('Auditoria Documental'!$N$7:$N$1000,'Auditoria Documental'!$A$7:$A$1000,A45)/SUMIFS('Auditoria Documental'!$M$7:$M$1000,'Auditoria Documental'!$A$7:$A$1000,A45),0))</f>
        <v>0</v>
      </c>
      <c r="M45" s="113">
        <f>IF(A45="","",COUNTIFS('Auditoria Documental'!$A$7:$A$1000,A45,'Auditoria Documental'!$J$7:$J$1000,3,'Auditoria Documental'!$K$7:$K$1000,"Não conforme"))</f>
        <v>0</v>
      </c>
      <c r="N45" s="114">
        <f>IF(A45="","",IFERROR(COUNTIFS('Auditoria Documental'!$A$7:$A$1000,A45,'Auditoria Documental'!$G$7:$G$1000,"7. Checklist da visita",'Auditoria Documental'!$K$7:$K$1000,"&lt;&gt;Não avaliado",'Auditoria Documental'!$K$7:$K$1000,"&lt;&gt;")/COUNTIF('Lista Mestra'!$B$7:$B$59,"7. Checklist da visita"),0))</f>
        <v>0</v>
      </c>
      <c r="O45" s="102"/>
    </row>
    <row r="46" ht="14.25" customHeight="1">
      <c r="A46" s="106" t="s">
        <v>2590</v>
      </c>
      <c r="B46" s="39" t="s">
        <v>486</v>
      </c>
      <c r="C46" s="102" t="str">
        <f t="array" ref="C46">IF(B46="","",IFERROR(INDEX('Cadastro Unidades'!$A$6:$A$222,MATCH(B46,'Cadastro Unidades'!$E$6:$E$222,0)),""))</f>
        <v>DABEN</v>
      </c>
      <c r="D46" s="102"/>
      <c r="E46" s="102"/>
      <c r="F46" s="112"/>
      <c r="G46" s="112"/>
      <c r="H46" s="102"/>
      <c r="I46" s="102"/>
      <c r="J46" s="113">
        <f>IF(A46="","",COUNTIF('Auditoria Documental'!$A$7:$A$1000,A46))</f>
        <v>0</v>
      </c>
      <c r="K46" s="113">
        <f>IF(A46="","",COUNTIFS('Auditoria Documental'!$A$7:$A$1000,A46,'Auditoria Documental'!$K$7:$K$1000,"&lt;&gt;Não avaliado",'Auditoria Documental'!$K$7:$K$1000,"&lt;&gt;"))</f>
        <v>0</v>
      </c>
      <c r="L46" s="114">
        <f>IF(A46="","",IFERROR(SUMIFS('Auditoria Documental'!$N$7:$N$1000,'Auditoria Documental'!$A$7:$A$1000,A46)/SUMIFS('Auditoria Documental'!$M$7:$M$1000,'Auditoria Documental'!$A$7:$A$1000,A46),0))</f>
        <v>0</v>
      </c>
      <c r="M46" s="113">
        <f>IF(A46="","",COUNTIFS('Auditoria Documental'!$A$7:$A$1000,A46,'Auditoria Documental'!$J$7:$J$1000,3,'Auditoria Documental'!$K$7:$K$1000,"Não conforme"))</f>
        <v>0</v>
      </c>
      <c r="N46" s="114">
        <f>IF(A46="","",IFERROR(COUNTIFS('Auditoria Documental'!$A$7:$A$1000,A46,'Auditoria Documental'!$G$7:$G$1000,"7. Checklist da visita",'Auditoria Documental'!$K$7:$K$1000,"&lt;&gt;Não avaliado",'Auditoria Documental'!$K$7:$K$1000,"&lt;&gt;")/COUNTIF('Lista Mestra'!$B$7:$B$59,"7. Checklist da visita"),0))</f>
        <v>0</v>
      </c>
      <c r="O46" s="102"/>
    </row>
    <row r="47" ht="14.25" customHeight="1">
      <c r="A47" s="106" t="s">
        <v>2591</v>
      </c>
      <c r="B47" s="39" t="s">
        <v>494</v>
      </c>
      <c r="C47" s="102" t="str">
        <f t="array" ref="C47">IF(B47="","",IFERROR(INDEX('Cadastro Unidades'!$A$6:$A$222,MATCH(B47,'Cadastro Unidades'!$E$6:$E$222,0)),""))</f>
        <v>DABEN</v>
      </c>
      <c r="D47" s="102"/>
      <c r="E47" s="102"/>
      <c r="F47" s="112"/>
      <c r="G47" s="112"/>
      <c r="H47" s="102"/>
      <c r="I47" s="102"/>
      <c r="J47" s="113">
        <f>IF(A47="","",COUNTIF('Auditoria Documental'!$A$7:$A$1000,A47))</f>
        <v>0</v>
      </c>
      <c r="K47" s="113">
        <f>IF(A47="","",COUNTIFS('Auditoria Documental'!$A$7:$A$1000,A47,'Auditoria Documental'!$K$7:$K$1000,"&lt;&gt;Não avaliado",'Auditoria Documental'!$K$7:$K$1000,"&lt;&gt;"))</f>
        <v>0</v>
      </c>
      <c r="L47" s="114">
        <f>IF(A47="","",IFERROR(SUMIFS('Auditoria Documental'!$N$7:$N$1000,'Auditoria Documental'!$A$7:$A$1000,A47)/SUMIFS('Auditoria Documental'!$M$7:$M$1000,'Auditoria Documental'!$A$7:$A$1000,A47),0))</f>
        <v>0</v>
      </c>
      <c r="M47" s="113">
        <f>IF(A47="","",COUNTIFS('Auditoria Documental'!$A$7:$A$1000,A47,'Auditoria Documental'!$J$7:$J$1000,3,'Auditoria Documental'!$K$7:$K$1000,"Não conforme"))</f>
        <v>0</v>
      </c>
      <c r="N47" s="114">
        <f>IF(A47="","",IFERROR(COUNTIFS('Auditoria Documental'!$A$7:$A$1000,A47,'Auditoria Documental'!$G$7:$G$1000,"7. Checklist da visita",'Auditoria Documental'!$K$7:$K$1000,"&lt;&gt;Não avaliado",'Auditoria Documental'!$K$7:$K$1000,"&lt;&gt;")/COUNTIF('Lista Mestra'!$B$7:$B$59,"7. Checklist da visita"),0))</f>
        <v>0</v>
      </c>
      <c r="O47" s="102"/>
    </row>
    <row r="48" ht="14.25" customHeight="1">
      <c r="A48" s="106" t="s">
        <v>2592</v>
      </c>
      <c r="B48" s="39" t="s">
        <v>506</v>
      </c>
      <c r="C48" s="102" t="str">
        <f t="array" ref="C48">IF(B48="","",IFERROR(INDEX('Cadastro Unidades'!$A$6:$A$222,MATCH(B48,'Cadastro Unidades'!$E$6:$E$222,0)),""))</f>
        <v>DABEN</v>
      </c>
      <c r="D48" s="102"/>
      <c r="E48" s="102"/>
      <c r="F48" s="112"/>
      <c r="G48" s="112"/>
      <c r="H48" s="102"/>
      <c r="I48" s="102"/>
      <c r="J48" s="113">
        <f>IF(A48="","",COUNTIF('Auditoria Documental'!$A$7:$A$1000,A48))</f>
        <v>0</v>
      </c>
      <c r="K48" s="113">
        <f>IF(A48="","",COUNTIFS('Auditoria Documental'!$A$7:$A$1000,A48,'Auditoria Documental'!$K$7:$K$1000,"&lt;&gt;Não avaliado",'Auditoria Documental'!$K$7:$K$1000,"&lt;&gt;"))</f>
        <v>0</v>
      </c>
      <c r="L48" s="114">
        <f>IF(A48="","",IFERROR(SUMIFS('Auditoria Documental'!$N$7:$N$1000,'Auditoria Documental'!$A$7:$A$1000,A48)/SUMIFS('Auditoria Documental'!$M$7:$M$1000,'Auditoria Documental'!$A$7:$A$1000,A48),0))</f>
        <v>0</v>
      </c>
      <c r="M48" s="113">
        <f>IF(A48="","",COUNTIFS('Auditoria Documental'!$A$7:$A$1000,A48,'Auditoria Documental'!$J$7:$J$1000,3,'Auditoria Documental'!$K$7:$K$1000,"Não conforme"))</f>
        <v>0</v>
      </c>
      <c r="N48" s="114">
        <f>IF(A48="","",IFERROR(COUNTIFS('Auditoria Documental'!$A$7:$A$1000,A48,'Auditoria Documental'!$G$7:$G$1000,"7. Checklist da visita",'Auditoria Documental'!$K$7:$K$1000,"&lt;&gt;Não avaliado",'Auditoria Documental'!$K$7:$K$1000,"&lt;&gt;")/COUNTIF('Lista Mestra'!$B$7:$B$59,"7. Checklist da visita"),0))</f>
        <v>0</v>
      </c>
      <c r="O48" s="102"/>
    </row>
    <row r="49" ht="14.25" customHeight="1">
      <c r="A49" s="106" t="s">
        <v>2593</v>
      </c>
      <c r="B49" s="39" t="s">
        <v>517</v>
      </c>
      <c r="C49" s="102" t="str">
        <f t="array" ref="C49">IF(B49="","",IFERROR(INDEX('Cadastro Unidades'!$A$6:$A$222,MATCH(B49,'Cadastro Unidades'!$E$6:$E$222,0)),""))</f>
        <v>DABEN</v>
      </c>
      <c r="D49" s="102"/>
      <c r="E49" s="102"/>
      <c r="F49" s="112"/>
      <c r="G49" s="112"/>
      <c r="H49" s="102"/>
      <c r="I49" s="102"/>
      <c r="J49" s="113">
        <f>IF(A49="","",COUNTIF('Auditoria Documental'!$A$7:$A$1000,A49))</f>
        <v>0</v>
      </c>
      <c r="K49" s="113">
        <f>IF(A49="","",COUNTIFS('Auditoria Documental'!$A$7:$A$1000,A49,'Auditoria Documental'!$K$7:$K$1000,"&lt;&gt;Não avaliado",'Auditoria Documental'!$K$7:$K$1000,"&lt;&gt;"))</f>
        <v>0</v>
      </c>
      <c r="L49" s="114">
        <f>IF(A49="","",IFERROR(SUMIFS('Auditoria Documental'!$N$7:$N$1000,'Auditoria Documental'!$A$7:$A$1000,A49)/SUMIFS('Auditoria Documental'!$M$7:$M$1000,'Auditoria Documental'!$A$7:$A$1000,A49),0))</f>
        <v>0</v>
      </c>
      <c r="M49" s="113">
        <f>IF(A49="","",COUNTIFS('Auditoria Documental'!$A$7:$A$1000,A49,'Auditoria Documental'!$J$7:$J$1000,3,'Auditoria Documental'!$K$7:$K$1000,"Não conforme"))</f>
        <v>0</v>
      </c>
      <c r="N49" s="114">
        <f>IF(A49="","",IFERROR(COUNTIFS('Auditoria Documental'!$A$7:$A$1000,A49,'Auditoria Documental'!$G$7:$G$1000,"7. Checklist da visita",'Auditoria Documental'!$K$7:$K$1000,"&lt;&gt;Não avaliado",'Auditoria Documental'!$K$7:$K$1000,"&lt;&gt;")/COUNTIF('Lista Mestra'!$B$7:$B$59,"7. Checklist da visita"),0))</f>
        <v>0</v>
      </c>
      <c r="O49" s="102"/>
    </row>
    <row r="50" ht="14.25" customHeight="1">
      <c r="A50" s="106" t="s">
        <v>2594</v>
      </c>
      <c r="B50" s="39" t="s">
        <v>530</v>
      </c>
      <c r="C50" s="102" t="str">
        <f t="array" ref="C50">IF(B50="","",IFERROR(INDEX('Cadastro Unidades'!$A$6:$A$222,MATCH(B50,'Cadastro Unidades'!$E$6:$E$222,0)),""))</f>
        <v>DABEN</v>
      </c>
      <c r="D50" s="102"/>
      <c r="E50" s="102"/>
      <c r="F50" s="112"/>
      <c r="G50" s="112"/>
      <c r="H50" s="102"/>
      <c r="I50" s="102"/>
      <c r="J50" s="113">
        <f>IF(A50="","",COUNTIF('Auditoria Documental'!$A$7:$A$1000,A50))</f>
        <v>0</v>
      </c>
      <c r="K50" s="113">
        <f>IF(A50="","",COUNTIFS('Auditoria Documental'!$A$7:$A$1000,A50,'Auditoria Documental'!$K$7:$K$1000,"&lt;&gt;Não avaliado",'Auditoria Documental'!$K$7:$K$1000,"&lt;&gt;"))</f>
        <v>0</v>
      </c>
      <c r="L50" s="114">
        <f>IF(A50="","",IFERROR(SUMIFS('Auditoria Documental'!$N$7:$N$1000,'Auditoria Documental'!$A$7:$A$1000,A50)/SUMIFS('Auditoria Documental'!$M$7:$M$1000,'Auditoria Documental'!$A$7:$A$1000,A50),0))</f>
        <v>0</v>
      </c>
      <c r="M50" s="113">
        <f>IF(A50="","",COUNTIFS('Auditoria Documental'!$A$7:$A$1000,A50,'Auditoria Documental'!$J$7:$J$1000,3,'Auditoria Documental'!$K$7:$K$1000,"Não conforme"))</f>
        <v>0</v>
      </c>
      <c r="N50" s="114">
        <f>IF(A50="","",IFERROR(COUNTIFS('Auditoria Documental'!$A$7:$A$1000,A50,'Auditoria Documental'!$G$7:$G$1000,"7. Checklist da visita",'Auditoria Documental'!$K$7:$K$1000,"&lt;&gt;Não avaliado",'Auditoria Documental'!$K$7:$K$1000,"&lt;&gt;")/COUNTIF('Lista Mestra'!$B$7:$B$59,"7. Checklist da visita"),0))</f>
        <v>0</v>
      </c>
      <c r="O50" s="102"/>
    </row>
    <row r="51" ht="14.25" customHeight="1">
      <c r="A51" s="106" t="s">
        <v>2595</v>
      </c>
      <c r="B51" s="39" t="s">
        <v>541</v>
      </c>
      <c r="C51" s="102" t="str">
        <f t="array" ref="C51">IF(B51="","",IFERROR(INDEX('Cadastro Unidades'!$A$6:$A$222,MATCH(B51,'Cadastro Unidades'!$E$6:$E$222,0)),""))</f>
        <v>DABEN</v>
      </c>
      <c r="D51" s="102"/>
      <c r="E51" s="102"/>
      <c r="F51" s="112"/>
      <c r="G51" s="112"/>
      <c r="H51" s="102"/>
      <c r="I51" s="102"/>
      <c r="J51" s="113">
        <f>IF(A51="","",COUNTIF('Auditoria Documental'!$A$7:$A$1000,A51))</f>
        <v>0</v>
      </c>
      <c r="K51" s="113">
        <f>IF(A51="","",COUNTIFS('Auditoria Documental'!$A$7:$A$1000,A51,'Auditoria Documental'!$K$7:$K$1000,"&lt;&gt;Não avaliado",'Auditoria Documental'!$K$7:$K$1000,"&lt;&gt;"))</f>
        <v>0</v>
      </c>
      <c r="L51" s="114">
        <f>IF(A51="","",IFERROR(SUMIFS('Auditoria Documental'!$N$7:$N$1000,'Auditoria Documental'!$A$7:$A$1000,A51)/SUMIFS('Auditoria Documental'!$M$7:$M$1000,'Auditoria Documental'!$A$7:$A$1000,A51),0))</f>
        <v>0</v>
      </c>
      <c r="M51" s="113">
        <f>IF(A51="","",COUNTIFS('Auditoria Documental'!$A$7:$A$1000,A51,'Auditoria Documental'!$J$7:$J$1000,3,'Auditoria Documental'!$K$7:$K$1000,"Não conforme"))</f>
        <v>0</v>
      </c>
      <c r="N51" s="114">
        <f>IF(A51="","",IFERROR(COUNTIFS('Auditoria Documental'!$A$7:$A$1000,A51,'Auditoria Documental'!$G$7:$G$1000,"7. Checklist da visita",'Auditoria Documental'!$K$7:$K$1000,"&lt;&gt;Não avaliado",'Auditoria Documental'!$K$7:$K$1000,"&lt;&gt;")/COUNTIF('Lista Mestra'!$B$7:$B$59,"7. Checklist da visita"),0))</f>
        <v>0</v>
      </c>
      <c r="O51" s="102"/>
    </row>
    <row r="52" ht="14.25" customHeight="1">
      <c r="A52" s="106" t="s">
        <v>2596</v>
      </c>
      <c r="B52" s="39" t="s">
        <v>548</v>
      </c>
      <c r="C52" s="102" t="str">
        <f t="array" ref="C52">IF(B52="","",IFERROR(INDEX('Cadastro Unidades'!$A$6:$A$222,MATCH(B52,'Cadastro Unidades'!$E$6:$E$222,0)),""))</f>
        <v>DABEN</v>
      </c>
      <c r="D52" s="102"/>
      <c r="E52" s="102"/>
      <c r="F52" s="112"/>
      <c r="G52" s="112"/>
      <c r="H52" s="102"/>
      <c r="I52" s="102"/>
      <c r="J52" s="113">
        <f>IF(A52="","",COUNTIF('Auditoria Documental'!$A$7:$A$1000,A52))</f>
        <v>0</v>
      </c>
      <c r="K52" s="113">
        <f>IF(A52="","",COUNTIFS('Auditoria Documental'!$A$7:$A$1000,A52,'Auditoria Documental'!$K$7:$K$1000,"&lt;&gt;Não avaliado",'Auditoria Documental'!$K$7:$K$1000,"&lt;&gt;"))</f>
        <v>0</v>
      </c>
      <c r="L52" s="114">
        <f>IF(A52="","",IFERROR(SUMIFS('Auditoria Documental'!$N$7:$N$1000,'Auditoria Documental'!$A$7:$A$1000,A52)/SUMIFS('Auditoria Documental'!$M$7:$M$1000,'Auditoria Documental'!$A$7:$A$1000,A52),0))</f>
        <v>0</v>
      </c>
      <c r="M52" s="113">
        <f>IF(A52="","",COUNTIFS('Auditoria Documental'!$A$7:$A$1000,A52,'Auditoria Documental'!$J$7:$J$1000,3,'Auditoria Documental'!$K$7:$K$1000,"Não conforme"))</f>
        <v>0</v>
      </c>
      <c r="N52" s="114">
        <f>IF(A52="","",IFERROR(COUNTIFS('Auditoria Documental'!$A$7:$A$1000,A52,'Auditoria Documental'!$G$7:$G$1000,"7. Checklist da visita",'Auditoria Documental'!$K$7:$K$1000,"&lt;&gt;Não avaliado",'Auditoria Documental'!$K$7:$K$1000,"&lt;&gt;")/COUNTIF('Lista Mestra'!$B$7:$B$59,"7. Checklist da visita"),0))</f>
        <v>0</v>
      </c>
      <c r="O52" s="102"/>
    </row>
    <row r="53" ht="14.25" customHeight="1">
      <c r="A53" s="106" t="s">
        <v>2597</v>
      </c>
      <c r="B53" s="39" t="s">
        <v>557</v>
      </c>
      <c r="C53" s="102" t="str">
        <f t="array" ref="C53">IF(B53="","",IFERROR(INDEX('Cadastro Unidades'!$A$6:$A$222,MATCH(B53,'Cadastro Unidades'!$E$6:$E$222,0)),""))</f>
        <v>DABEN</v>
      </c>
      <c r="D53" s="102"/>
      <c r="E53" s="102"/>
      <c r="F53" s="112"/>
      <c r="G53" s="112"/>
      <c r="H53" s="102"/>
      <c r="I53" s="102"/>
      <c r="J53" s="113">
        <f>IF(A53="","",COUNTIF('Auditoria Documental'!$A$7:$A$1000,A53))</f>
        <v>0</v>
      </c>
      <c r="K53" s="113">
        <f>IF(A53="","",COUNTIFS('Auditoria Documental'!$A$7:$A$1000,A53,'Auditoria Documental'!$K$7:$K$1000,"&lt;&gt;Não avaliado",'Auditoria Documental'!$K$7:$K$1000,"&lt;&gt;"))</f>
        <v>0</v>
      </c>
      <c r="L53" s="114">
        <f>IF(A53="","",IFERROR(SUMIFS('Auditoria Documental'!$N$7:$N$1000,'Auditoria Documental'!$A$7:$A$1000,A53)/SUMIFS('Auditoria Documental'!$M$7:$M$1000,'Auditoria Documental'!$A$7:$A$1000,A53),0))</f>
        <v>0</v>
      </c>
      <c r="M53" s="113">
        <f>IF(A53="","",COUNTIFS('Auditoria Documental'!$A$7:$A$1000,A53,'Auditoria Documental'!$J$7:$J$1000,3,'Auditoria Documental'!$K$7:$K$1000,"Não conforme"))</f>
        <v>0</v>
      </c>
      <c r="N53" s="114">
        <f>IF(A53="","",IFERROR(COUNTIFS('Auditoria Documental'!$A$7:$A$1000,A53,'Auditoria Documental'!$G$7:$G$1000,"7. Checklist da visita",'Auditoria Documental'!$K$7:$K$1000,"&lt;&gt;Não avaliado",'Auditoria Documental'!$K$7:$K$1000,"&lt;&gt;")/COUNTIF('Lista Mestra'!$B$7:$B$59,"7. Checklist da visita"),0))</f>
        <v>0</v>
      </c>
      <c r="O53" s="102"/>
    </row>
    <row r="54" ht="14.25" customHeight="1">
      <c r="A54" s="106" t="s">
        <v>2598</v>
      </c>
      <c r="B54" s="39" t="s">
        <v>568</v>
      </c>
      <c r="C54" s="102" t="str">
        <f t="array" ref="C54">IF(B54="","",IFERROR(INDEX('Cadastro Unidades'!$A$6:$A$222,MATCH(B54,'Cadastro Unidades'!$E$6:$E$222,0)),""))</f>
        <v>DABEN</v>
      </c>
      <c r="D54" s="102"/>
      <c r="E54" s="102"/>
      <c r="F54" s="112"/>
      <c r="G54" s="112"/>
      <c r="H54" s="102"/>
      <c r="I54" s="102"/>
      <c r="J54" s="113">
        <f>IF(A54="","",COUNTIF('Auditoria Documental'!$A$7:$A$1000,A54))</f>
        <v>0</v>
      </c>
      <c r="K54" s="113">
        <f>IF(A54="","",COUNTIFS('Auditoria Documental'!$A$7:$A$1000,A54,'Auditoria Documental'!$K$7:$K$1000,"&lt;&gt;Não avaliado",'Auditoria Documental'!$K$7:$K$1000,"&lt;&gt;"))</f>
        <v>0</v>
      </c>
      <c r="L54" s="114">
        <f>IF(A54="","",IFERROR(SUMIFS('Auditoria Documental'!$N$7:$N$1000,'Auditoria Documental'!$A$7:$A$1000,A54)/SUMIFS('Auditoria Documental'!$M$7:$M$1000,'Auditoria Documental'!$A$7:$A$1000,A54),0))</f>
        <v>0</v>
      </c>
      <c r="M54" s="113">
        <f>IF(A54="","",COUNTIFS('Auditoria Documental'!$A$7:$A$1000,A54,'Auditoria Documental'!$J$7:$J$1000,3,'Auditoria Documental'!$K$7:$K$1000,"Não conforme"))</f>
        <v>0</v>
      </c>
      <c r="N54" s="114">
        <f>IF(A54="","",IFERROR(COUNTIFS('Auditoria Documental'!$A$7:$A$1000,A54,'Auditoria Documental'!$G$7:$G$1000,"7. Checklist da visita",'Auditoria Documental'!$K$7:$K$1000,"&lt;&gt;Não avaliado",'Auditoria Documental'!$K$7:$K$1000,"&lt;&gt;")/COUNTIF('Lista Mestra'!$B$7:$B$59,"7. Checklist da visita"),0))</f>
        <v>0</v>
      </c>
      <c r="O54" s="102"/>
    </row>
    <row r="55" ht="14.25" customHeight="1">
      <c r="A55" s="106" t="s">
        <v>2599</v>
      </c>
      <c r="B55" s="39" t="s">
        <v>574</v>
      </c>
      <c r="C55" s="102" t="str">
        <f t="array" ref="C55">IF(B55="","",IFERROR(INDEX('Cadastro Unidades'!$A$6:$A$222,MATCH(B55,'Cadastro Unidades'!$E$6:$E$222,0)),""))</f>
        <v>DABEN</v>
      </c>
      <c r="D55" s="102"/>
      <c r="E55" s="102"/>
      <c r="F55" s="112"/>
      <c r="G55" s="112"/>
      <c r="H55" s="102"/>
      <c r="I55" s="102"/>
      <c r="J55" s="113">
        <f>IF(A55="","",COUNTIF('Auditoria Documental'!$A$7:$A$1000,A55))</f>
        <v>0</v>
      </c>
      <c r="K55" s="113">
        <f>IF(A55="","",COUNTIFS('Auditoria Documental'!$A$7:$A$1000,A55,'Auditoria Documental'!$K$7:$K$1000,"&lt;&gt;Não avaliado",'Auditoria Documental'!$K$7:$K$1000,"&lt;&gt;"))</f>
        <v>0</v>
      </c>
      <c r="L55" s="114">
        <f>IF(A55="","",IFERROR(SUMIFS('Auditoria Documental'!$N$7:$N$1000,'Auditoria Documental'!$A$7:$A$1000,A55)/SUMIFS('Auditoria Documental'!$M$7:$M$1000,'Auditoria Documental'!$A$7:$A$1000,A55),0))</f>
        <v>0</v>
      </c>
      <c r="M55" s="113">
        <f>IF(A55="","",COUNTIFS('Auditoria Documental'!$A$7:$A$1000,A55,'Auditoria Documental'!$J$7:$J$1000,3,'Auditoria Documental'!$K$7:$K$1000,"Não conforme"))</f>
        <v>0</v>
      </c>
      <c r="N55" s="114">
        <f>IF(A55="","",IFERROR(COUNTIFS('Auditoria Documental'!$A$7:$A$1000,A55,'Auditoria Documental'!$G$7:$G$1000,"7. Checklist da visita",'Auditoria Documental'!$K$7:$K$1000,"&lt;&gt;Não avaliado",'Auditoria Documental'!$K$7:$K$1000,"&lt;&gt;")/COUNTIF('Lista Mestra'!$B$7:$B$59,"7. Checklist da visita"),0))</f>
        <v>0</v>
      </c>
      <c r="O55" s="102"/>
    </row>
    <row r="56" ht="14.25" customHeight="1">
      <c r="A56" s="106" t="s">
        <v>2600</v>
      </c>
      <c r="B56" s="39" t="s">
        <v>580</v>
      </c>
      <c r="C56" s="102" t="str">
        <f t="array" ref="C56">IF(B56="","",IFERROR(INDEX('Cadastro Unidades'!$A$6:$A$222,MATCH(B56,'Cadastro Unidades'!$E$6:$E$222,0)),""))</f>
        <v>DABEN</v>
      </c>
      <c r="D56" s="102"/>
      <c r="E56" s="102"/>
      <c r="F56" s="112"/>
      <c r="G56" s="112"/>
      <c r="H56" s="102"/>
      <c r="I56" s="102"/>
      <c r="J56" s="113">
        <f>IF(A56="","",COUNTIF('Auditoria Documental'!$A$7:$A$1000,A56))</f>
        <v>0</v>
      </c>
      <c r="K56" s="113">
        <f>IF(A56="","",COUNTIFS('Auditoria Documental'!$A$7:$A$1000,A56,'Auditoria Documental'!$K$7:$K$1000,"&lt;&gt;Não avaliado",'Auditoria Documental'!$K$7:$K$1000,"&lt;&gt;"))</f>
        <v>0</v>
      </c>
      <c r="L56" s="114">
        <f>IF(A56="","",IFERROR(SUMIFS('Auditoria Documental'!$N$7:$N$1000,'Auditoria Documental'!$A$7:$A$1000,A56)/SUMIFS('Auditoria Documental'!$M$7:$M$1000,'Auditoria Documental'!$A$7:$A$1000,A56),0))</f>
        <v>0</v>
      </c>
      <c r="M56" s="113">
        <f>IF(A56="","",COUNTIFS('Auditoria Documental'!$A$7:$A$1000,A56,'Auditoria Documental'!$J$7:$J$1000,3,'Auditoria Documental'!$K$7:$K$1000,"Não conforme"))</f>
        <v>0</v>
      </c>
      <c r="N56" s="114">
        <f>IF(A56="","",IFERROR(COUNTIFS('Auditoria Documental'!$A$7:$A$1000,A56,'Auditoria Documental'!$G$7:$G$1000,"7. Checklist da visita",'Auditoria Documental'!$K$7:$K$1000,"&lt;&gt;Não avaliado",'Auditoria Documental'!$K$7:$K$1000,"&lt;&gt;")/COUNTIF('Lista Mestra'!$B$7:$B$59,"7. Checklist da visita"),0))</f>
        <v>0</v>
      </c>
      <c r="O56" s="102"/>
    </row>
    <row r="57" ht="14.25" customHeight="1">
      <c r="A57" s="106" t="s">
        <v>2601</v>
      </c>
      <c r="B57" s="39" t="s">
        <v>587</v>
      </c>
      <c r="C57" s="102" t="str">
        <f t="array" ref="C57">IF(B57="","",IFERROR(INDEX('Cadastro Unidades'!$A$6:$A$222,MATCH(B57,'Cadastro Unidades'!$E$6:$E$222,0)),""))</f>
        <v>DABEN</v>
      </c>
      <c r="D57" s="102"/>
      <c r="E57" s="102"/>
      <c r="F57" s="112"/>
      <c r="G57" s="112"/>
      <c r="H57" s="102"/>
      <c r="I57" s="102"/>
      <c r="J57" s="113">
        <f>IF(A57="","",COUNTIF('Auditoria Documental'!$A$7:$A$1000,A57))</f>
        <v>0</v>
      </c>
      <c r="K57" s="113">
        <f>IF(A57="","",COUNTIFS('Auditoria Documental'!$A$7:$A$1000,A57,'Auditoria Documental'!$K$7:$K$1000,"&lt;&gt;Não avaliado",'Auditoria Documental'!$K$7:$K$1000,"&lt;&gt;"))</f>
        <v>0</v>
      </c>
      <c r="L57" s="114">
        <f>IF(A57="","",IFERROR(SUMIFS('Auditoria Documental'!$N$7:$N$1000,'Auditoria Documental'!$A$7:$A$1000,A57)/SUMIFS('Auditoria Documental'!$M$7:$M$1000,'Auditoria Documental'!$A$7:$A$1000,A57),0))</f>
        <v>0</v>
      </c>
      <c r="M57" s="113">
        <f>IF(A57="","",COUNTIFS('Auditoria Documental'!$A$7:$A$1000,A57,'Auditoria Documental'!$J$7:$J$1000,3,'Auditoria Documental'!$K$7:$K$1000,"Não conforme"))</f>
        <v>0</v>
      </c>
      <c r="N57" s="114">
        <f>IF(A57="","",IFERROR(COUNTIFS('Auditoria Documental'!$A$7:$A$1000,A57,'Auditoria Documental'!$G$7:$G$1000,"7. Checklist da visita",'Auditoria Documental'!$K$7:$K$1000,"&lt;&gt;Não avaliado",'Auditoria Documental'!$K$7:$K$1000,"&lt;&gt;")/COUNTIF('Lista Mestra'!$B$7:$B$59,"7. Checklist da visita"),0))</f>
        <v>0</v>
      </c>
      <c r="O57" s="102"/>
    </row>
    <row r="58" ht="14.25" customHeight="1">
      <c r="A58" s="106" t="s">
        <v>2602</v>
      </c>
      <c r="B58" s="39" t="s">
        <v>592</v>
      </c>
      <c r="C58" s="102" t="str">
        <f t="array" ref="C58">IF(B58="","",IFERROR(INDEX('Cadastro Unidades'!$A$6:$A$222,MATCH(B58,'Cadastro Unidades'!$E$6:$E$222,0)),""))</f>
        <v>DABEN</v>
      </c>
      <c r="D58" s="102"/>
      <c r="E58" s="102"/>
      <c r="F58" s="112"/>
      <c r="G58" s="112"/>
      <c r="H58" s="102"/>
      <c r="I58" s="102"/>
      <c r="J58" s="113">
        <f>IF(A58="","",COUNTIF('Auditoria Documental'!$A$7:$A$1000,A58))</f>
        <v>0</v>
      </c>
      <c r="K58" s="113">
        <f>IF(A58="","",COUNTIFS('Auditoria Documental'!$A$7:$A$1000,A58,'Auditoria Documental'!$K$7:$K$1000,"&lt;&gt;Não avaliado",'Auditoria Documental'!$K$7:$K$1000,"&lt;&gt;"))</f>
        <v>0</v>
      </c>
      <c r="L58" s="114">
        <f>IF(A58="","",IFERROR(SUMIFS('Auditoria Documental'!$N$7:$N$1000,'Auditoria Documental'!$A$7:$A$1000,A58)/SUMIFS('Auditoria Documental'!$M$7:$M$1000,'Auditoria Documental'!$A$7:$A$1000,A58),0))</f>
        <v>0</v>
      </c>
      <c r="M58" s="113">
        <f>IF(A58="","",COUNTIFS('Auditoria Documental'!$A$7:$A$1000,A58,'Auditoria Documental'!$J$7:$J$1000,3,'Auditoria Documental'!$K$7:$K$1000,"Não conforme"))</f>
        <v>0</v>
      </c>
      <c r="N58" s="114">
        <f>IF(A58="","",IFERROR(COUNTIFS('Auditoria Documental'!$A$7:$A$1000,A58,'Auditoria Documental'!$G$7:$G$1000,"7. Checklist da visita",'Auditoria Documental'!$K$7:$K$1000,"&lt;&gt;Não avaliado",'Auditoria Documental'!$K$7:$K$1000,"&lt;&gt;")/COUNTIF('Lista Mestra'!$B$7:$B$59,"7. Checklist da visita"),0))</f>
        <v>0</v>
      </c>
      <c r="O58" s="102"/>
    </row>
    <row r="59" ht="14.25" customHeight="1">
      <c r="A59" s="106" t="s">
        <v>2603</v>
      </c>
      <c r="B59" s="39" t="s">
        <v>603</v>
      </c>
      <c r="C59" s="102" t="str">
        <f t="array" ref="C59">IF(B59="","",IFERROR(INDEX('Cadastro Unidades'!$A$6:$A$222,MATCH(B59,'Cadastro Unidades'!$E$6:$E$222,0)),""))</f>
        <v>DABEN</v>
      </c>
      <c r="D59" s="102"/>
      <c r="E59" s="102"/>
      <c r="F59" s="112"/>
      <c r="G59" s="112"/>
      <c r="H59" s="102"/>
      <c r="I59" s="102"/>
      <c r="J59" s="113">
        <f>IF(A59="","",COUNTIF('Auditoria Documental'!$A$7:$A$1000,A59))</f>
        <v>0</v>
      </c>
      <c r="K59" s="113">
        <f>IF(A59="","",COUNTIFS('Auditoria Documental'!$A$7:$A$1000,A59,'Auditoria Documental'!$K$7:$K$1000,"&lt;&gt;Não avaliado",'Auditoria Documental'!$K$7:$K$1000,"&lt;&gt;"))</f>
        <v>0</v>
      </c>
      <c r="L59" s="114">
        <f>IF(A59="","",IFERROR(SUMIFS('Auditoria Documental'!$N$7:$N$1000,'Auditoria Documental'!$A$7:$A$1000,A59)/SUMIFS('Auditoria Documental'!$M$7:$M$1000,'Auditoria Documental'!$A$7:$A$1000,A59),0))</f>
        <v>0</v>
      </c>
      <c r="M59" s="113">
        <f>IF(A59="","",COUNTIFS('Auditoria Documental'!$A$7:$A$1000,A59,'Auditoria Documental'!$J$7:$J$1000,3,'Auditoria Documental'!$K$7:$K$1000,"Não conforme"))</f>
        <v>0</v>
      </c>
      <c r="N59" s="114">
        <f>IF(A59="","",IFERROR(COUNTIFS('Auditoria Documental'!$A$7:$A$1000,A59,'Auditoria Documental'!$G$7:$G$1000,"7. Checklist da visita",'Auditoria Documental'!$K$7:$K$1000,"&lt;&gt;Não avaliado",'Auditoria Documental'!$K$7:$K$1000,"&lt;&gt;")/COUNTIF('Lista Mestra'!$B$7:$B$59,"7. Checklist da visita"),0))</f>
        <v>0</v>
      </c>
      <c r="O59" s="102"/>
    </row>
    <row r="60" ht="14.25" customHeight="1">
      <c r="A60" s="106" t="s">
        <v>2604</v>
      </c>
      <c r="B60" s="39" t="s">
        <v>614</v>
      </c>
      <c r="C60" s="102" t="str">
        <f t="array" ref="C60">IF(B60="","",IFERROR(INDEX('Cadastro Unidades'!$A$6:$A$222,MATCH(B60,'Cadastro Unidades'!$E$6:$E$222,0)),""))</f>
        <v>DABEN</v>
      </c>
      <c r="D60" s="102"/>
      <c r="E60" s="102"/>
      <c r="F60" s="112"/>
      <c r="G60" s="112"/>
      <c r="H60" s="102"/>
      <c r="I60" s="102"/>
      <c r="J60" s="113">
        <f>IF(A60="","",COUNTIF('Auditoria Documental'!$A$7:$A$1000,A60))</f>
        <v>0</v>
      </c>
      <c r="K60" s="113">
        <f>IF(A60="","",COUNTIFS('Auditoria Documental'!$A$7:$A$1000,A60,'Auditoria Documental'!$K$7:$K$1000,"&lt;&gt;Não avaliado",'Auditoria Documental'!$K$7:$K$1000,"&lt;&gt;"))</f>
        <v>0</v>
      </c>
      <c r="L60" s="114">
        <f>IF(A60="","",IFERROR(SUMIFS('Auditoria Documental'!$N$7:$N$1000,'Auditoria Documental'!$A$7:$A$1000,A60)/SUMIFS('Auditoria Documental'!$M$7:$M$1000,'Auditoria Documental'!$A$7:$A$1000,A60),0))</f>
        <v>0</v>
      </c>
      <c r="M60" s="113">
        <f>IF(A60="","",COUNTIFS('Auditoria Documental'!$A$7:$A$1000,A60,'Auditoria Documental'!$J$7:$J$1000,3,'Auditoria Documental'!$K$7:$K$1000,"Não conforme"))</f>
        <v>0</v>
      </c>
      <c r="N60" s="114">
        <f>IF(A60="","",IFERROR(COUNTIFS('Auditoria Documental'!$A$7:$A$1000,A60,'Auditoria Documental'!$G$7:$G$1000,"7. Checklist da visita",'Auditoria Documental'!$K$7:$K$1000,"&lt;&gt;Não avaliado",'Auditoria Documental'!$K$7:$K$1000,"&lt;&gt;")/COUNTIF('Lista Mestra'!$B$7:$B$59,"7. Checklist da visita"),0))</f>
        <v>0</v>
      </c>
      <c r="O60" s="102"/>
    </row>
    <row r="61" ht="14.25" customHeight="1">
      <c r="A61" s="106" t="s">
        <v>2605</v>
      </c>
      <c r="B61" s="39" t="s">
        <v>625</v>
      </c>
      <c r="C61" s="102" t="str">
        <f t="array" ref="C61">IF(B61="","",IFERROR(INDEX('Cadastro Unidades'!$A$6:$A$222,MATCH(B61,'Cadastro Unidades'!$E$6:$E$222,0)),""))</f>
        <v>DABEN</v>
      </c>
      <c r="D61" s="102"/>
      <c r="E61" s="102"/>
      <c r="F61" s="112"/>
      <c r="G61" s="112"/>
      <c r="H61" s="102"/>
      <c r="I61" s="102"/>
      <c r="J61" s="113">
        <f>IF(A61="","",COUNTIF('Auditoria Documental'!$A$7:$A$1000,A61))</f>
        <v>0</v>
      </c>
      <c r="K61" s="113">
        <f>IF(A61="","",COUNTIFS('Auditoria Documental'!$A$7:$A$1000,A61,'Auditoria Documental'!$K$7:$K$1000,"&lt;&gt;Não avaliado",'Auditoria Documental'!$K$7:$K$1000,"&lt;&gt;"))</f>
        <v>0</v>
      </c>
      <c r="L61" s="114">
        <f>IF(A61="","",IFERROR(SUMIFS('Auditoria Documental'!$N$7:$N$1000,'Auditoria Documental'!$A$7:$A$1000,A61)/SUMIFS('Auditoria Documental'!$M$7:$M$1000,'Auditoria Documental'!$A$7:$A$1000,A61),0))</f>
        <v>0</v>
      </c>
      <c r="M61" s="113">
        <f>IF(A61="","",COUNTIFS('Auditoria Documental'!$A$7:$A$1000,A61,'Auditoria Documental'!$J$7:$J$1000,3,'Auditoria Documental'!$K$7:$K$1000,"Não conforme"))</f>
        <v>0</v>
      </c>
      <c r="N61" s="114">
        <f>IF(A61="","",IFERROR(COUNTIFS('Auditoria Documental'!$A$7:$A$1000,A61,'Auditoria Documental'!$G$7:$G$1000,"7. Checklist da visita",'Auditoria Documental'!$K$7:$K$1000,"&lt;&gt;Não avaliado",'Auditoria Documental'!$K$7:$K$1000,"&lt;&gt;")/COUNTIF('Lista Mestra'!$B$7:$B$59,"7. Checklist da visita"),0))</f>
        <v>0</v>
      </c>
      <c r="O61" s="102"/>
    </row>
    <row r="62" ht="14.25" customHeight="1">
      <c r="A62" s="106" t="s">
        <v>2606</v>
      </c>
      <c r="B62" s="39" t="s">
        <v>637</v>
      </c>
      <c r="C62" s="102" t="str">
        <f t="array" ref="C62">IF(B62="","",IFERROR(INDEX('Cadastro Unidades'!$A$6:$A$222,MATCH(B62,'Cadastro Unidades'!$E$6:$E$222,0)),""))</f>
        <v>DABEN</v>
      </c>
      <c r="D62" s="102"/>
      <c r="E62" s="102"/>
      <c r="F62" s="112"/>
      <c r="G62" s="112"/>
      <c r="H62" s="102"/>
      <c r="I62" s="102"/>
      <c r="J62" s="113">
        <f>IF(A62="","",COUNTIF('Auditoria Documental'!$A$7:$A$1000,A62))</f>
        <v>0</v>
      </c>
      <c r="K62" s="113">
        <f>IF(A62="","",COUNTIFS('Auditoria Documental'!$A$7:$A$1000,A62,'Auditoria Documental'!$K$7:$K$1000,"&lt;&gt;Não avaliado",'Auditoria Documental'!$K$7:$K$1000,"&lt;&gt;"))</f>
        <v>0</v>
      </c>
      <c r="L62" s="114">
        <f>IF(A62="","",IFERROR(SUMIFS('Auditoria Documental'!$N$7:$N$1000,'Auditoria Documental'!$A$7:$A$1000,A62)/SUMIFS('Auditoria Documental'!$M$7:$M$1000,'Auditoria Documental'!$A$7:$A$1000,A62),0))</f>
        <v>0</v>
      </c>
      <c r="M62" s="113">
        <f>IF(A62="","",COUNTIFS('Auditoria Documental'!$A$7:$A$1000,A62,'Auditoria Documental'!$J$7:$J$1000,3,'Auditoria Documental'!$K$7:$K$1000,"Não conforme"))</f>
        <v>0</v>
      </c>
      <c r="N62" s="114">
        <f>IF(A62="","",IFERROR(COUNTIFS('Auditoria Documental'!$A$7:$A$1000,A62,'Auditoria Documental'!$G$7:$G$1000,"7. Checklist da visita",'Auditoria Documental'!$K$7:$K$1000,"&lt;&gt;Não avaliado",'Auditoria Documental'!$K$7:$K$1000,"&lt;&gt;")/COUNTIF('Lista Mestra'!$B$7:$B$59,"7. Checklist da visita"),0))</f>
        <v>0</v>
      </c>
      <c r="O62" s="102"/>
    </row>
    <row r="63" ht="14.25" customHeight="1">
      <c r="A63" s="106" t="s">
        <v>2607</v>
      </c>
      <c r="B63" s="39" t="s">
        <v>647</v>
      </c>
      <c r="C63" s="102" t="str">
        <f t="array" ref="C63">IF(B63="","",IFERROR(INDEX('Cadastro Unidades'!$A$6:$A$222,MATCH(B63,'Cadastro Unidades'!$E$6:$E$222,0)),""))</f>
        <v>DABEN</v>
      </c>
      <c r="D63" s="102"/>
      <c r="E63" s="102"/>
      <c r="F63" s="112"/>
      <c r="G63" s="112"/>
      <c r="H63" s="102"/>
      <c r="I63" s="102"/>
      <c r="J63" s="113">
        <f>IF(A63="","",COUNTIF('Auditoria Documental'!$A$7:$A$1000,A63))</f>
        <v>0</v>
      </c>
      <c r="K63" s="113">
        <f>IF(A63="","",COUNTIFS('Auditoria Documental'!$A$7:$A$1000,A63,'Auditoria Documental'!$K$7:$K$1000,"&lt;&gt;Não avaliado",'Auditoria Documental'!$K$7:$K$1000,"&lt;&gt;"))</f>
        <v>0</v>
      </c>
      <c r="L63" s="114">
        <f>IF(A63="","",IFERROR(SUMIFS('Auditoria Documental'!$N$7:$N$1000,'Auditoria Documental'!$A$7:$A$1000,A63)/SUMIFS('Auditoria Documental'!$M$7:$M$1000,'Auditoria Documental'!$A$7:$A$1000,A63),0))</f>
        <v>0</v>
      </c>
      <c r="M63" s="113">
        <f>IF(A63="","",COUNTIFS('Auditoria Documental'!$A$7:$A$1000,A63,'Auditoria Documental'!$J$7:$J$1000,3,'Auditoria Documental'!$K$7:$K$1000,"Não conforme"))</f>
        <v>0</v>
      </c>
      <c r="N63" s="114">
        <f>IF(A63="","",IFERROR(COUNTIFS('Auditoria Documental'!$A$7:$A$1000,A63,'Auditoria Documental'!$G$7:$G$1000,"7. Checklist da visita",'Auditoria Documental'!$K$7:$K$1000,"&lt;&gt;Não avaliado",'Auditoria Documental'!$K$7:$K$1000,"&lt;&gt;")/COUNTIF('Lista Mestra'!$B$7:$B$59,"7. Checklist da visita"),0))</f>
        <v>0</v>
      </c>
      <c r="O63" s="102"/>
    </row>
    <row r="64" ht="14.25" customHeight="1">
      <c r="A64" s="106" t="s">
        <v>2608</v>
      </c>
      <c r="B64" s="39" t="s">
        <v>658</v>
      </c>
      <c r="C64" s="102" t="str">
        <f t="array" ref="C64">IF(B64="","",IFERROR(INDEX('Cadastro Unidades'!$A$6:$A$222,MATCH(B64,'Cadastro Unidades'!$E$6:$E$222,0)),""))</f>
        <v>DABEN</v>
      </c>
      <c r="D64" s="102"/>
      <c r="E64" s="102"/>
      <c r="F64" s="112"/>
      <c r="G64" s="112"/>
      <c r="H64" s="102"/>
      <c r="I64" s="102"/>
      <c r="J64" s="113">
        <f>IF(A64="","",COUNTIF('Auditoria Documental'!$A$7:$A$1000,A64))</f>
        <v>0</v>
      </c>
      <c r="K64" s="113">
        <f>IF(A64="","",COUNTIFS('Auditoria Documental'!$A$7:$A$1000,A64,'Auditoria Documental'!$K$7:$K$1000,"&lt;&gt;Não avaliado",'Auditoria Documental'!$K$7:$K$1000,"&lt;&gt;"))</f>
        <v>0</v>
      </c>
      <c r="L64" s="114">
        <f>IF(A64="","",IFERROR(SUMIFS('Auditoria Documental'!$N$7:$N$1000,'Auditoria Documental'!$A$7:$A$1000,A64)/SUMIFS('Auditoria Documental'!$M$7:$M$1000,'Auditoria Documental'!$A$7:$A$1000,A64),0))</f>
        <v>0</v>
      </c>
      <c r="M64" s="113">
        <f>IF(A64="","",COUNTIFS('Auditoria Documental'!$A$7:$A$1000,A64,'Auditoria Documental'!$J$7:$J$1000,3,'Auditoria Documental'!$K$7:$K$1000,"Não conforme"))</f>
        <v>0</v>
      </c>
      <c r="N64" s="114">
        <f>IF(A64="","",IFERROR(COUNTIFS('Auditoria Documental'!$A$7:$A$1000,A64,'Auditoria Documental'!$G$7:$G$1000,"7. Checklist da visita",'Auditoria Documental'!$K$7:$K$1000,"&lt;&gt;Não avaliado",'Auditoria Documental'!$K$7:$K$1000,"&lt;&gt;")/COUNTIF('Lista Mestra'!$B$7:$B$59,"7. Checklist da visita"),0))</f>
        <v>0</v>
      </c>
      <c r="O64" s="102"/>
    </row>
    <row r="65" ht="14.25" customHeight="1">
      <c r="A65" s="106" t="s">
        <v>2609</v>
      </c>
      <c r="B65" s="39" t="s">
        <v>668</v>
      </c>
      <c r="C65" s="102" t="str">
        <f t="array" ref="C65">IF(B65="","",IFERROR(INDEX('Cadastro Unidades'!$A$6:$A$222,MATCH(B65,'Cadastro Unidades'!$E$6:$E$222,0)),""))</f>
        <v>DABEN</v>
      </c>
      <c r="D65" s="102"/>
      <c r="E65" s="102"/>
      <c r="F65" s="112"/>
      <c r="G65" s="112"/>
      <c r="H65" s="102"/>
      <c r="I65" s="102"/>
      <c r="J65" s="113">
        <f>IF(A65="","",COUNTIF('Auditoria Documental'!$A$7:$A$1000,A65))</f>
        <v>0</v>
      </c>
      <c r="K65" s="113">
        <f>IF(A65="","",COUNTIFS('Auditoria Documental'!$A$7:$A$1000,A65,'Auditoria Documental'!$K$7:$K$1000,"&lt;&gt;Não avaliado",'Auditoria Documental'!$K$7:$K$1000,"&lt;&gt;"))</f>
        <v>0</v>
      </c>
      <c r="L65" s="114">
        <f>IF(A65="","",IFERROR(SUMIFS('Auditoria Documental'!$N$7:$N$1000,'Auditoria Documental'!$A$7:$A$1000,A65)/SUMIFS('Auditoria Documental'!$M$7:$M$1000,'Auditoria Documental'!$A$7:$A$1000,A65),0))</f>
        <v>0</v>
      </c>
      <c r="M65" s="113">
        <f>IF(A65="","",COUNTIFS('Auditoria Documental'!$A$7:$A$1000,A65,'Auditoria Documental'!$J$7:$J$1000,3,'Auditoria Documental'!$K$7:$K$1000,"Não conforme"))</f>
        <v>0</v>
      </c>
      <c r="N65" s="114">
        <f>IF(A65="","",IFERROR(COUNTIFS('Auditoria Documental'!$A$7:$A$1000,A65,'Auditoria Documental'!$G$7:$G$1000,"7. Checklist da visita",'Auditoria Documental'!$K$7:$K$1000,"&lt;&gt;Não avaliado",'Auditoria Documental'!$K$7:$K$1000,"&lt;&gt;")/COUNTIF('Lista Mestra'!$B$7:$B$59,"7. Checklist da visita"),0))</f>
        <v>0</v>
      </c>
      <c r="O65" s="102"/>
    </row>
    <row r="66" ht="14.25" customHeight="1">
      <c r="A66" s="106" t="s">
        <v>2610</v>
      </c>
      <c r="B66" s="39" t="s">
        <v>678</v>
      </c>
      <c r="C66" s="102" t="str">
        <f t="array" ref="C66">IF(B66="","",IFERROR(INDEX('Cadastro Unidades'!$A$6:$A$222,MATCH(B66,'Cadastro Unidades'!$E$6:$E$222,0)),""))</f>
        <v>DABEN</v>
      </c>
      <c r="D66" s="102"/>
      <c r="E66" s="102"/>
      <c r="F66" s="112"/>
      <c r="G66" s="112"/>
      <c r="H66" s="102"/>
      <c r="I66" s="102"/>
      <c r="J66" s="113">
        <f>IF(A66="","",COUNTIF('Auditoria Documental'!$A$7:$A$1000,A66))</f>
        <v>0</v>
      </c>
      <c r="K66" s="113">
        <f>IF(A66="","",COUNTIFS('Auditoria Documental'!$A$7:$A$1000,A66,'Auditoria Documental'!$K$7:$K$1000,"&lt;&gt;Não avaliado",'Auditoria Documental'!$K$7:$K$1000,"&lt;&gt;"))</f>
        <v>0</v>
      </c>
      <c r="L66" s="114">
        <f>IF(A66="","",IFERROR(SUMIFS('Auditoria Documental'!$N$7:$N$1000,'Auditoria Documental'!$A$7:$A$1000,A66)/SUMIFS('Auditoria Documental'!$M$7:$M$1000,'Auditoria Documental'!$A$7:$A$1000,A66),0))</f>
        <v>0</v>
      </c>
      <c r="M66" s="113">
        <f>IF(A66="","",COUNTIFS('Auditoria Documental'!$A$7:$A$1000,A66,'Auditoria Documental'!$J$7:$J$1000,3,'Auditoria Documental'!$K$7:$K$1000,"Não conforme"))</f>
        <v>0</v>
      </c>
      <c r="N66" s="114">
        <f>IF(A66="","",IFERROR(COUNTIFS('Auditoria Documental'!$A$7:$A$1000,A66,'Auditoria Documental'!$G$7:$G$1000,"7. Checklist da visita",'Auditoria Documental'!$K$7:$K$1000,"&lt;&gt;Não avaliado",'Auditoria Documental'!$K$7:$K$1000,"&lt;&gt;")/COUNTIF('Lista Mestra'!$B$7:$B$59,"7. Checklist da visita"),0))</f>
        <v>0</v>
      </c>
      <c r="O66" s="102"/>
    </row>
    <row r="67" ht="14.25" customHeight="1">
      <c r="A67" s="106" t="s">
        <v>2611</v>
      </c>
      <c r="B67" s="39" t="s">
        <v>688</v>
      </c>
      <c r="C67" s="102" t="str">
        <f t="array" ref="C67">IF(B67="","",IFERROR(INDEX('Cadastro Unidades'!$A$6:$A$222,MATCH(B67,'Cadastro Unidades'!$E$6:$E$222,0)),""))</f>
        <v>DABEN</v>
      </c>
      <c r="D67" s="102"/>
      <c r="E67" s="102"/>
      <c r="F67" s="112"/>
      <c r="G67" s="112"/>
      <c r="H67" s="102"/>
      <c r="I67" s="102"/>
      <c r="J67" s="113">
        <f>IF(A67="","",COUNTIF('Auditoria Documental'!$A$7:$A$1000,A67))</f>
        <v>0</v>
      </c>
      <c r="K67" s="113">
        <f>IF(A67="","",COUNTIFS('Auditoria Documental'!$A$7:$A$1000,A67,'Auditoria Documental'!$K$7:$K$1000,"&lt;&gt;Não avaliado",'Auditoria Documental'!$K$7:$K$1000,"&lt;&gt;"))</f>
        <v>0</v>
      </c>
      <c r="L67" s="114">
        <f>IF(A67="","",IFERROR(SUMIFS('Auditoria Documental'!$N$7:$N$1000,'Auditoria Documental'!$A$7:$A$1000,A67)/SUMIFS('Auditoria Documental'!$M$7:$M$1000,'Auditoria Documental'!$A$7:$A$1000,A67),0))</f>
        <v>0</v>
      </c>
      <c r="M67" s="113">
        <f>IF(A67="","",COUNTIFS('Auditoria Documental'!$A$7:$A$1000,A67,'Auditoria Documental'!$J$7:$J$1000,3,'Auditoria Documental'!$K$7:$K$1000,"Não conforme"))</f>
        <v>0</v>
      </c>
      <c r="N67" s="114">
        <f>IF(A67="","",IFERROR(COUNTIFS('Auditoria Documental'!$A$7:$A$1000,A67,'Auditoria Documental'!$G$7:$G$1000,"7. Checklist da visita",'Auditoria Documental'!$K$7:$K$1000,"&lt;&gt;Não avaliado",'Auditoria Documental'!$K$7:$K$1000,"&lt;&gt;")/COUNTIF('Lista Mestra'!$B$7:$B$59,"7. Checklist da visita"),0))</f>
        <v>0</v>
      </c>
      <c r="O67" s="102"/>
    </row>
    <row r="68" ht="14.25" customHeight="1">
      <c r="A68" s="106" t="s">
        <v>2612</v>
      </c>
      <c r="B68" s="39" t="s">
        <v>699</v>
      </c>
      <c r="C68" s="102" t="str">
        <f t="array" ref="C68">IF(B68="","",IFERROR(INDEX('Cadastro Unidades'!$A$6:$A$222,MATCH(B68,'Cadastro Unidades'!$E$6:$E$222,0)),""))</f>
        <v>DAENT</v>
      </c>
      <c r="D68" s="102"/>
      <c r="E68" s="102"/>
      <c r="F68" s="112"/>
      <c r="G68" s="112"/>
      <c r="H68" s="102"/>
      <c r="I68" s="102"/>
      <c r="J68" s="113">
        <f>IF(A68="","",COUNTIF('Auditoria Documental'!$A$7:$A$1000,A68))</f>
        <v>0</v>
      </c>
      <c r="K68" s="113">
        <f>IF(A68="","",COUNTIFS('Auditoria Documental'!$A$7:$A$1000,A68,'Auditoria Documental'!$K$7:$K$1000,"&lt;&gt;Não avaliado",'Auditoria Documental'!$K$7:$K$1000,"&lt;&gt;"))</f>
        <v>0</v>
      </c>
      <c r="L68" s="114">
        <f>IF(A68="","",IFERROR(SUMIFS('Auditoria Documental'!$N$7:$N$1000,'Auditoria Documental'!$A$7:$A$1000,A68)/SUMIFS('Auditoria Documental'!$M$7:$M$1000,'Auditoria Documental'!$A$7:$A$1000,A68),0))</f>
        <v>0</v>
      </c>
      <c r="M68" s="113">
        <f>IF(A68="","",COUNTIFS('Auditoria Documental'!$A$7:$A$1000,A68,'Auditoria Documental'!$J$7:$J$1000,3,'Auditoria Documental'!$K$7:$K$1000,"Não conforme"))</f>
        <v>0</v>
      </c>
      <c r="N68" s="114">
        <f>IF(A68="","",IFERROR(COUNTIFS('Auditoria Documental'!$A$7:$A$1000,A68,'Auditoria Documental'!$G$7:$G$1000,"7. Checklist da visita",'Auditoria Documental'!$K$7:$K$1000,"&lt;&gt;Não avaliado",'Auditoria Documental'!$K$7:$K$1000,"&lt;&gt;")/COUNTIF('Lista Mestra'!$B$7:$B$59,"7. Checklist da visita"),0))</f>
        <v>0</v>
      </c>
      <c r="O68" s="102"/>
    </row>
    <row r="69" ht="14.25" customHeight="1">
      <c r="A69" s="106" t="s">
        <v>2613</v>
      </c>
      <c r="B69" s="39" t="s">
        <v>705</v>
      </c>
      <c r="C69" s="102" t="str">
        <f t="array" ref="C69">IF(B69="","",IFERROR(INDEX('Cadastro Unidades'!$A$6:$A$222,MATCH(B69,'Cadastro Unidades'!$E$6:$E$222,0)),""))</f>
        <v>DAENT</v>
      </c>
      <c r="D69" s="102"/>
      <c r="E69" s="102"/>
      <c r="F69" s="112"/>
      <c r="G69" s="112"/>
      <c r="H69" s="102"/>
      <c r="I69" s="102"/>
      <c r="J69" s="113">
        <f>IF(A69="","",COUNTIF('Auditoria Documental'!$A$7:$A$1000,A69))</f>
        <v>0</v>
      </c>
      <c r="K69" s="113">
        <f>IF(A69="","",COUNTIFS('Auditoria Documental'!$A$7:$A$1000,A69,'Auditoria Documental'!$K$7:$K$1000,"&lt;&gt;Não avaliado",'Auditoria Documental'!$K$7:$K$1000,"&lt;&gt;"))</f>
        <v>0</v>
      </c>
      <c r="L69" s="114">
        <f>IF(A69="","",IFERROR(SUMIFS('Auditoria Documental'!$N$7:$N$1000,'Auditoria Documental'!$A$7:$A$1000,A69)/SUMIFS('Auditoria Documental'!$M$7:$M$1000,'Auditoria Documental'!$A$7:$A$1000,A69),0))</f>
        <v>0</v>
      </c>
      <c r="M69" s="113">
        <f>IF(A69="","",COUNTIFS('Auditoria Documental'!$A$7:$A$1000,A69,'Auditoria Documental'!$J$7:$J$1000,3,'Auditoria Documental'!$K$7:$K$1000,"Não conforme"))</f>
        <v>0</v>
      </c>
      <c r="N69" s="114">
        <f>IF(A69="","",IFERROR(COUNTIFS('Auditoria Documental'!$A$7:$A$1000,A69,'Auditoria Documental'!$G$7:$G$1000,"7. Checklist da visita",'Auditoria Documental'!$K$7:$K$1000,"&lt;&gt;Não avaliado",'Auditoria Documental'!$K$7:$K$1000,"&lt;&gt;")/COUNTIF('Lista Mestra'!$B$7:$B$59,"7. Checklist da visita"),0))</f>
        <v>0</v>
      </c>
      <c r="O69" s="102"/>
    </row>
    <row r="70" ht="14.25" customHeight="1">
      <c r="A70" s="106" t="s">
        <v>2614</v>
      </c>
      <c r="B70" s="39" t="s">
        <v>714</v>
      </c>
      <c r="C70" s="102" t="str">
        <f t="array" ref="C70">IF(B70="","",IFERROR(INDEX('Cadastro Unidades'!$A$6:$A$222,MATCH(B70,'Cadastro Unidades'!$E$6:$E$222,0)),""))</f>
        <v>DAENT</v>
      </c>
      <c r="D70" s="102"/>
      <c r="E70" s="102"/>
      <c r="F70" s="112"/>
      <c r="G70" s="112"/>
      <c r="H70" s="102"/>
      <c r="I70" s="102"/>
      <c r="J70" s="113">
        <f>IF(A70="","",COUNTIF('Auditoria Documental'!$A$7:$A$1000,A70))</f>
        <v>0</v>
      </c>
      <c r="K70" s="113">
        <f>IF(A70="","",COUNTIFS('Auditoria Documental'!$A$7:$A$1000,A70,'Auditoria Documental'!$K$7:$K$1000,"&lt;&gt;Não avaliado",'Auditoria Documental'!$K$7:$K$1000,"&lt;&gt;"))</f>
        <v>0</v>
      </c>
      <c r="L70" s="114">
        <f>IF(A70="","",IFERROR(SUMIFS('Auditoria Documental'!$N$7:$N$1000,'Auditoria Documental'!$A$7:$A$1000,A70)/SUMIFS('Auditoria Documental'!$M$7:$M$1000,'Auditoria Documental'!$A$7:$A$1000,A70),0))</f>
        <v>0</v>
      </c>
      <c r="M70" s="113">
        <f>IF(A70="","",COUNTIFS('Auditoria Documental'!$A$7:$A$1000,A70,'Auditoria Documental'!$J$7:$J$1000,3,'Auditoria Documental'!$K$7:$K$1000,"Não conforme"))</f>
        <v>0</v>
      </c>
      <c r="N70" s="114">
        <f>IF(A70="","",IFERROR(COUNTIFS('Auditoria Documental'!$A$7:$A$1000,A70,'Auditoria Documental'!$G$7:$G$1000,"7. Checklist da visita",'Auditoria Documental'!$K$7:$K$1000,"&lt;&gt;Não avaliado",'Auditoria Documental'!$K$7:$K$1000,"&lt;&gt;")/COUNTIF('Lista Mestra'!$B$7:$B$59,"7. Checklist da visita"),0))</f>
        <v>0</v>
      </c>
      <c r="O70" s="102"/>
    </row>
    <row r="71" ht="14.25" customHeight="1">
      <c r="A71" s="106" t="s">
        <v>2615</v>
      </c>
      <c r="B71" s="39" t="s">
        <v>722</v>
      </c>
      <c r="C71" s="102" t="str">
        <f t="array" ref="C71">IF(B71="","",IFERROR(INDEX('Cadastro Unidades'!$A$6:$A$222,MATCH(B71,'Cadastro Unidades'!$E$6:$E$222,0)),""))</f>
        <v>DAENT</v>
      </c>
      <c r="D71" s="102"/>
      <c r="E71" s="102"/>
      <c r="F71" s="112"/>
      <c r="G71" s="112"/>
      <c r="H71" s="102"/>
      <c r="I71" s="102"/>
      <c r="J71" s="113">
        <f>IF(A71="","",COUNTIF('Auditoria Documental'!$A$7:$A$1000,A71))</f>
        <v>0</v>
      </c>
      <c r="K71" s="113">
        <f>IF(A71="","",COUNTIFS('Auditoria Documental'!$A$7:$A$1000,A71,'Auditoria Documental'!$K$7:$K$1000,"&lt;&gt;Não avaliado",'Auditoria Documental'!$K$7:$K$1000,"&lt;&gt;"))</f>
        <v>0</v>
      </c>
      <c r="L71" s="114">
        <f>IF(A71="","",IFERROR(SUMIFS('Auditoria Documental'!$N$7:$N$1000,'Auditoria Documental'!$A$7:$A$1000,A71)/SUMIFS('Auditoria Documental'!$M$7:$M$1000,'Auditoria Documental'!$A$7:$A$1000,A71),0))</f>
        <v>0</v>
      </c>
      <c r="M71" s="113">
        <f>IF(A71="","",COUNTIFS('Auditoria Documental'!$A$7:$A$1000,A71,'Auditoria Documental'!$J$7:$J$1000,3,'Auditoria Documental'!$K$7:$K$1000,"Não conforme"))</f>
        <v>0</v>
      </c>
      <c r="N71" s="114">
        <f>IF(A71="","",IFERROR(COUNTIFS('Auditoria Documental'!$A$7:$A$1000,A71,'Auditoria Documental'!$G$7:$G$1000,"7. Checklist da visita",'Auditoria Documental'!$K$7:$K$1000,"&lt;&gt;Não avaliado",'Auditoria Documental'!$K$7:$K$1000,"&lt;&gt;")/COUNTIF('Lista Mestra'!$B$7:$B$59,"7. Checklist da visita"),0))</f>
        <v>0</v>
      </c>
      <c r="O71" s="102"/>
    </row>
    <row r="72" ht="14.25" customHeight="1">
      <c r="A72" s="106" t="s">
        <v>2616</v>
      </c>
      <c r="B72" s="39" t="s">
        <v>733</v>
      </c>
      <c r="C72" s="102" t="str">
        <f t="array" ref="C72">IF(B72="","",IFERROR(INDEX('Cadastro Unidades'!$A$6:$A$222,MATCH(B72,'Cadastro Unidades'!$E$6:$E$222,0)),""))</f>
        <v>DAENT</v>
      </c>
      <c r="D72" s="102"/>
      <c r="E72" s="102"/>
      <c r="F72" s="112"/>
      <c r="G72" s="112"/>
      <c r="H72" s="102"/>
      <c r="I72" s="102"/>
      <c r="J72" s="113">
        <f>IF(A72="","",COUNTIF('Auditoria Documental'!$A$7:$A$1000,A72))</f>
        <v>0</v>
      </c>
      <c r="K72" s="113">
        <f>IF(A72="","",COUNTIFS('Auditoria Documental'!$A$7:$A$1000,A72,'Auditoria Documental'!$K$7:$K$1000,"&lt;&gt;Não avaliado",'Auditoria Documental'!$K$7:$K$1000,"&lt;&gt;"))</f>
        <v>0</v>
      </c>
      <c r="L72" s="114">
        <f>IF(A72="","",IFERROR(SUMIFS('Auditoria Documental'!$N$7:$N$1000,'Auditoria Documental'!$A$7:$A$1000,A72)/SUMIFS('Auditoria Documental'!$M$7:$M$1000,'Auditoria Documental'!$A$7:$A$1000,A72),0))</f>
        <v>0</v>
      </c>
      <c r="M72" s="113">
        <f>IF(A72="","",COUNTIFS('Auditoria Documental'!$A$7:$A$1000,A72,'Auditoria Documental'!$J$7:$J$1000,3,'Auditoria Documental'!$K$7:$K$1000,"Não conforme"))</f>
        <v>0</v>
      </c>
      <c r="N72" s="114">
        <f>IF(A72="","",IFERROR(COUNTIFS('Auditoria Documental'!$A$7:$A$1000,A72,'Auditoria Documental'!$G$7:$G$1000,"7. Checklist da visita",'Auditoria Documental'!$K$7:$K$1000,"&lt;&gt;Não avaliado",'Auditoria Documental'!$K$7:$K$1000,"&lt;&gt;")/COUNTIF('Lista Mestra'!$B$7:$B$59,"7. Checklist da visita"),0))</f>
        <v>0</v>
      </c>
      <c r="O72" s="102"/>
    </row>
    <row r="73" ht="14.25" customHeight="1">
      <c r="A73" s="106" t="s">
        <v>2617</v>
      </c>
      <c r="B73" s="39" t="s">
        <v>743</v>
      </c>
      <c r="C73" s="102" t="str">
        <f t="array" ref="C73">IF(B73="","",IFERROR(INDEX('Cadastro Unidades'!$A$6:$A$222,MATCH(B73,'Cadastro Unidades'!$E$6:$E$222,0)),""))</f>
        <v>DAENT</v>
      </c>
      <c r="D73" s="102"/>
      <c r="E73" s="102"/>
      <c r="F73" s="112"/>
      <c r="G73" s="112"/>
      <c r="H73" s="102"/>
      <c r="I73" s="102"/>
      <c r="J73" s="113">
        <f>IF(A73="","",COUNTIF('Auditoria Documental'!$A$7:$A$1000,A73))</f>
        <v>0</v>
      </c>
      <c r="K73" s="113">
        <f>IF(A73="","",COUNTIFS('Auditoria Documental'!$A$7:$A$1000,A73,'Auditoria Documental'!$K$7:$K$1000,"&lt;&gt;Não avaliado",'Auditoria Documental'!$K$7:$K$1000,"&lt;&gt;"))</f>
        <v>0</v>
      </c>
      <c r="L73" s="114">
        <f>IF(A73="","",IFERROR(SUMIFS('Auditoria Documental'!$N$7:$N$1000,'Auditoria Documental'!$A$7:$A$1000,A73)/SUMIFS('Auditoria Documental'!$M$7:$M$1000,'Auditoria Documental'!$A$7:$A$1000,A73),0))</f>
        <v>0</v>
      </c>
      <c r="M73" s="113">
        <f>IF(A73="","",COUNTIFS('Auditoria Documental'!$A$7:$A$1000,A73,'Auditoria Documental'!$J$7:$J$1000,3,'Auditoria Documental'!$K$7:$K$1000,"Não conforme"))</f>
        <v>0</v>
      </c>
      <c r="N73" s="114">
        <f>IF(A73="","",IFERROR(COUNTIFS('Auditoria Documental'!$A$7:$A$1000,A73,'Auditoria Documental'!$G$7:$G$1000,"7. Checklist da visita",'Auditoria Documental'!$K$7:$K$1000,"&lt;&gt;Não avaliado",'Auditoria Documental'!$K$7:$K$1000,"&lt;&gt;")/COUNTIF('Lista Mestra'!$B$7:$B$59,"7. Checklist da visita"),0))</f>
        <v>0</v>
      </c>
      <c r="O73" s="102"/>
    </row>
    <row r="74" ht="14.25" customHeight="1">
      <c r="A74" s="106" t="s">
        <v>2618</v>
      </c>
      <c r="B74" s="39" t="s">
        <v>753</v>
      </c>
      <c r="C74" s="102" t="str">
        <f t="array" ref="C74">IF(B74="","",IFERROR(INDEX('Cadastro Unidades'!$A$6:$A$222,MATCH(B74,'Cadastro Unidades'!$E$6:$E$222,0)),""))</f>
        <v>DAENT</v>
      </c>
      <c r="D74" s="102"/>
      <c r="E74" s="102"/>
      <c r="F74" s="112"/>
      <c r="G74" s="112"/>
      <c r="H74" s="102"/>
      <c r="I74" s="102"/>
      <c r="J74" s="113">
        <f>IF(A74="","",COUNTIF('Auditoria Documental'!$A$7:$A$1000,A74))</f>
        <v>0</v>
      </c>
      <c r="K74" s="113">
        <f>IF(A74="","",COUNTIFS('Auditoria Documental'!$A$7:$A$1000,A74,'Auditoria Documental'!$K$7:$K$1000,"&lt;&gt;Não avaliado",'Auditoria Documental'!$K$7:$K$1000,"&lt;&gt;"))</f>
        <v>0</v>
      </c>
      <c r="L74" s="114">
        <f>IF(A74="","",IFERROR(SUMIFS('Auditoria Documental'!$N$7:$N$1000,'Auditoria Documental'!$A$7:$A$1000,A74)/SUMIFS('Auditoria Documental'!$M$7:$M$1000,'Auditoria Documental'!$A$7:$A$1000,A74),0))</f>
        <v>0</v>
      </c>
      <c r="M74" s="113">
        <f>IF(A74="","",COUNTIFS('Auditoria Documental'!$A$7:$A$1000,A74,'Auditoria Documental'!$J$7:$J$1000,3,'Auditoria Documental'!$K$7:$K$1000,"Não conforme"))</f>
        <v>0</v>
      </c>
      <c r="N74" s="114">
        <f>IF(A74="","",IFERROR(COUNTIFS('Auditoria Documental'!$A$7:$A$1000,A74,'Auditoria Documental'!$G$7:$G$1000,"7. Checklist da visita",'Auditoria Documental'!$K$7:$K$1000,"&lt;&gt;Não avaliado",'Auditoria Documental'!$K$7:$K$1000,"&lt;&gt;")/COUNTIF('Lista Mestra'!$B$7:$B$59,"7. Checklist da visita"),0))</f>
        <v>0</v>
      </c>
      <c r="O74" s="102"/>
    </row>
    <row r="75" ht="14.25" customHeight="1">
      <c r="A75" s="106" t="s">
        <v>2619</v>
      </c>
      <c r="B75" s="39" t="s">
        <v>767</v>
      </c>
      <c r="C75" s="102" t="str">
        <f t="array" ref="C75">IF(B75="","",IFERROR(INDEX('Cadastro Unidades'!$A$6:$A$222,MATCH(B75,'Cadastro Unidades'!$E$6:$E$222,0)),""))</f>
        <v>DAENT</v>
      </c>
      <c r="D75" s="102"/>
      <c r="E75" s="102"/>
      <c r="F75" s="112"/>
      <c r="G75" s="112"/>
      <c r="H75" s="102"/>
      <c r="I75" s="102"/>
      <c r="J75" s="113">
        <f>IF(A75="","",COUNTIF('Auditoria Documental'!$A$7:$A$1000,A75))</f>
        <v>0</v>
      </c>
      <c r="K75" s="113">
        <f>IF(A75="","",COUNTIFS('Auditoria Documental'!$A$7:$A$1000,A75,'Auditoria Documental'!$K$7:$K$1000,"&lt;&gt;Não avaliado",'Auditoria Documental'!$K$7:$K$1000,"&lt;&gt;"))</f>
        <v>0</v>
      </c>
      <c r="L75" s="114">
        <f>IF(A75="","",IFERROR(SUMIFS('Auditoria Documental'!$N$7:$N$1000,'Auditoria Documental'!$A$7:$A$1000,A75)/SUMIFS('Auditoria Documental'!$M$7:$M$1000,'Auditoria Documental'!$A$7:$A$1000,A75),0))</f>
        <v>0</v>
      </c>
      <c r="M75" s="113">
        <f>IF(A75="","",COUNTIFS('Auditoria Documental'!$A$7:$A$1000,A75,'Auditoria Documental'!$J$7:$J$1000,3,'Auditoria Documental'!$K$7:$K$1000,"Não conforme"))</f>
        <v>0</v>
      </c>
      <c r="N75" s="114">
        <f>IF(A75="","",IFERROR(COUNTIFS('Auditoria Documental'!$A$7:$A$1000,A75,'Auditoria Documental'!$G$7:$G$1000,"7. Checklist da visita",'Auditoria Documental'!$K$7:$K$1000,"&lt;&gt;Não avaliado",'Auditoria Documental'!$K$7:$K$1000,"&lt;&gt;")/COUNTIF('Lista Mestra'!$B$7:$B$59,"7. Checklist da visita"),0))</f>
        <v>0</v>
      </c>
      <c r="O75" s="102"/>
    </row>
    <row r="76" ht="14.25" customHeight="1">
      <c r="A76" s="106" t="s">
        <v>2620</v>
      </c>
      <c r="B76" s="39" t="s">
        <v>780</v>
      </c>
      <c r="C76" s="102" t="str">
        <f t="array" ref="C76">IF(B76="","",IFERROR(INDEX('Cadastro Unidades'!$A$6:$A$222,MATCH(B76,'Cadastro Unidades'!$E$6:$E$222,0)),""))</f>
        <v>DAENT</v>
      </c>
      <c r="D76" s="102"/>
      <c r="E76" s="102"/>
      <c r="F76" s="112"/>
      <c r="G76" s="112"/>
      <c r="H76" s="102"/>
      <c r="I76" s="102"/>
      <c r="J76" s="113">
        <f>IF(A76="","",COUNTIF('Auditoria Documental'!$A$7:$A$1000,A76))</f>
        <v>0</v>
      </c>
      <c r="K76" s="113">
        <f>IF(A76="","",COUNTIFS('Auditoria Documental'!$A$7:$A$1000,A76,'Auditoria Documental'!$K$7:$K$1000,"&lt;&gt;Não avaliado",'Auditoria Documental'!$K$7:$K$1000,"&lt;&gt;"))</f>
        <v>0</v>
      </c>
      <c r="L76" s="114">
        <f>IF(A76="","",IFERROR(SUMIFS('Auditoria Documental'!$N$7:$N$1000,'Auditoria Documental'!$A$7:$A$1000,A76)/SUMIFS('Auditoria Documental'!$M$7:$M$1000,'Auditoria Documental'!$A$7:$A$1000,A76),0))</f>
        <v>0</v>
      </c>
      <c r="M76" s="113">
        <f>IF(A76="","",COUNTIFS('Auditoria Documental'!$A$7:$A$1000,A76,'Auditoria Documental'!$J$7:$J$1000,3,'Auditoria Documental'!$K$7:$K$1000,"Não conforme"))</f>
        <v>0</v>
      </c>
      <c r="N76" s="114">
        <f>IF(A76="","",IFERROR(COUNTIFS('Auditoria Documental'!$A$7:$A$1000,A76,'Auditoria Documental'!$G$7:$G$1000,"7. Checklist da visita",'Auditoria Documental'!$K$7:$K$1000,"&lt;&gt;Não avaliado",'Auditoria Documental'!$K$7:$K$1000,"&lt;&gt;")/COUNTIF('Lista Mestra'!$B$7:$B$59,"7. Checklist da visita"),0))</f>
        <v>0</v>
      </c>
      <c r="O76" s="102"/>
    </row>
    <row r="77" ht="14.25" customHeight="1">
      <c r="A77" s="106" t="s">
        <v>2621</v>
      </c>
      <c r="B77" s="39" t="s">
        <v>790</v>
      </c>
      <c r="C77" s="102" t="str">
        <f t="array" ref="C77">IF(B77="","",IFERROR(INDEX('Cadastro Unidades'!$A$6:$A$222,MATCH(B77,'Cadastro Unidades'!$E$6:$E$222,0)),""))</f>
        <v>DAENT</v>
      </c>
      <c r="D77" s="102"/>
      <c r="E77" s="102"/>
      <c r="F77" s="112"/>
      <c r="G77" s="112"/>
      <c r="H77" s="102"/>
      <c r="I77" s="102"/>
      <c r="J77" s="113">
        <f>IF(A77="","",COUNTIF('Auditoria Documental'!$A$7:$A$1000,A77))</f>
        <v>0</v>
      </c>
      <c r="K77" s="113">
        <f>IF(A77="","",COUNTIFS('Auditoria Documental'!$A$7:$A$1000,A77,'Auditoria Documental'!$K$7:$K$1000,"&lt;&gt;Não avaliado",'Auditoria Documental'!$K$7:$K$1000,"&lt;&gt;"))</f>
        <v>0</v>
      </c>
      <c r="L77" s="114">
        <f>IF(A77="","",IFERROR(SUMIFS('Auditoria Documental'!$N$7:$N$1000,'Auditoria Documental'!$A$7:$A$1000,A77)/SUMIFS('Auditoria Documental'!$M$7:$M$1000,'Auditoria Documental'!$A$7:$A$1000,A77),0))</f>
        <v>0</v>
      </c>
      <c r="M77" s="113">
        <f>IF(A77="","",COUNTIFS('Auditoria Documental'!$A$7:$A$1000,A77,'Auditoria Documental'!$J$7:$J$1000,3,'Auditoria Documental'!$K$7:$K$1000,"Não conforme"))</f>
        <v>0</v>
      </c>
      <c r="N77" s="114">
        <f>IF(A77="","",IFERROR(COUNTIFS('Auditoria Documental'!$A$7:$A$1000,A77,'Auditoria Documental'!$G$7:$G$1000,"7. Checklist da visita",'Auditoria Documental'!$K$7:$K$1000,"&lt;&gt;Não avaliado",'Auditoria Documental'!$K$7:$K$1000,"&lt;&gt;")/COUNTIF('Lista Mestra'!$B$7:$B$59,"7. Checklist da visita"),0))</f>
        <v>0</v>
      </c>
      <c r="O77" s="102"/>
    </row>
    <row r="78" ht="14.25" customHeight="1">
      <c r="A78" s="106" t="s">
        <v>2622</v>
      </c>
      <c r="B78" s="39" t="s">
        <v>794</v>
      </c>
      <c r="C78" s="102" t="str">
        <f t="array" ref="C78">IF(B78="","",IFERROR(INDEX('Cadastro Unidades'!$A$6:$A$222,MATCH(B78,'Cadastro Unidades'!$E$6:$E$222,0)),""))</f>
        <v>DAENT</v>
      </c>
      <c r="D78" s="102"/>
      <c r="E78" s="102"/>
      <c r="F78" s="112"/>
      <c r="G78" s="112"/>
      <c r="H78" s="102"/>
      <c r="I78" s="102"/>
      <c r="J78" s="113">
        <f>IF(A78="","",COUNTIF('Auditoria Documental'!$A$7:$A$1000,A78))</f>
        <v>0</v>
      </c>
      <c r="K78" s="113">
        <f>IF(A78="","",COUNTIFS('Auditoria Documental'!$A$7:$A$1000,A78,'Auditoria Documental'!$K$7:$K$1000,"&lt;&gt;Não avaliado",'Auditoria Documental'!$K$7:$K$1000,"&lt;&gt;"))</f>
        <v>0</v>
      </c>
      <c r="L78" s="114">
        <f>IF(A78="","",IFERROR(SUMIFS('Auditoria Documental'!$N$7:$N$1000,'Auditoria Documental'!$A$7:$A$1000,A78)/SUMIFS('Auditoria Documental'!$M$7:$M$1000,'Auditoria Documental'!$A$7:$A$1000,A78),0))</f>
        <v>0</v>
      </c>
      <c r="M78" s="113">
        <f>IF(A78="","",COUNTIFS('Auditoria Documental'!$A$7:$A$1000,A78,'Auditoria Documental'!$J$7:$J$1000,3,'Auditoria Documental'!$K$7:$K$1000,"Não conforme"))</f>
        <v>0</v>
      </c>
      <c r="N78" s="114">
        <f>IF(A78="","",IFERROR(COUNTIFS('Auditoria Documental'!$A$7:$A$1000,A78,'Auditoria Documental'!$G$7:$G$1000,"7. Checklist da visita",'Auditoria Documental'!$K$7:$K$1000,"&lt;&gt;Não avaliado",'Auditoria Documental'!$K$7:$K$1000,"&lt;&gt;")/COUNTIF('Lista Mestra'!$B$7:$B$59,"7. Checklist da visita"),0))</f>
        <v>0</v>
      </c>
      <c r="O78" s="102"/>
    </row>
    <row r="79" ht="14.25" customHeight="1">
      <c r="A79" s="106" t="s">
        <v>2623</v>
      </c>
      <c r="B79" s="39" t="s">
        <v>803</v>
      </c>
      <c r="C79" s="102" t="str">
        <f t="array" ref="C79">IF(B79="","",IFERROR(INDEX('Cadastro Unidades'!$A$6:$A$222,MATCH(B79,'Cadastro Unidades'!$E$6:$E$222,0)),""))</f>
        <v>DAENT</v>
      </c>
      <c r="D79" s="102"/>
      <c r="E79" s="102"/>
      <c r="F79" s="112"/>
      <c r="G79" s="112"/>
      <c r="H79" s="102"/>
      <c r="I79" s="102"/>
      <c r="J79" s="113">
        <f>IF(A79="","",COUNTIF('Auditoria Documental'!$A$7:$A$1000,A79))</f>
        <v>0</v>
      </c>
      <c r="K79" s="113">
        <f>IF(A79="","",COUNTIFS('Auditoria Documental'!$A$7:$A$1000,A79,'Auditoria Documental'!$K$7:$K$1000,"&lt;&gt;Não avaliado",'Auditoria Documental'!$K$7:$K$1000,"&lt;&gt;"))</f>
        <v>0</v>
      </c>
      <c r="L79" s="114">
        <f>IF(A79="","",IFERROR(SUMIFS('Auditoria Documental'!$N$7:$N$1000,'Auditoria Documental'!$A$7:$A$1000,A79)/SUMIFS('Auditoria Documental'!$M$7:$M$1000,'Auditoria Documental'!$A$7:$A$1000,A79),0))</f>
        <v>0</v>
      </c>
      <c r="M79" s="113">
        <f>IF(A79="","",COUNTIFS('Auditoria Documental'!$A$7:$A$1000,A79,'Auditoria Documental'!$J$7:$J$1000,3,'Auditoria Documental'!$K$7:$K$1000,"Não conforme"))</f>
        <v>0</v>
      </c>
      <c r="N79" s="114">
        <f>IF(A79="","",IFERROR(COUNTIFS('Auditoria Documental'!$A$7:$A$1000,A79,'Auditoria Documental'!$G$7:$G$1000,"7. Checklist da visita",'Auditoria Documental'!$K$7:$K$1000,"&lt;&gt;Não avaliado",'Auditoria Documental'!$K$7:$K$1000,"&lt;&gt;")/COUNTIF('Lista Mestra'!$B$7:$B$59,"7. Checklist da visita"),0))</f>
        <v>0</v>
      </c>
      <c r="O79" s="102"/>
    </row>
    <row r="80" ht="14.25" customHeight="1">
      <c r="A80" s="106" t="s">
        <v>2624</v>
      </c>
      <c r="B80" s="39" t="s">
        <v>813</v>
      </c>
      <c r="C80" s="102" t="str">
        <f t="array" ref="C80">IF(B80="","",IFERROR(INDEX('Cadastro Unidades'!$A$6:$A$222,MATCH(B80,'Cadastro Unidades'!$E$6:$E$222,0)),""))</f>
        <v>DAENT</v>
      </c>
      <c r="D80" s="102"/>
      <c r="E80" s="102"/>
      <c r="F80" s="112"/>
      <c r="G80" s="112"/>
      <c r="H80" s="102"/>
      <c r="I80" s="102"/>
      <c r="J80" s="113">
        <f>IF(A80="","",COUNTIF('Auditoria Documental'!$A$7:$A$1000,A80))</f>
        <v>0</v>
      </c>
      <c r="K80" s="113">
        <f>IF(A80="","",COUNTIFS('Auditoria Documental'!$A$7:$A$1000,A80,'Auditoria Documental'!$K$7:$K$1000,"&lt;&gt;Não avaliado",'Auditoria Documental'!$K$7:$K$1000,"&lt;&gt;"))</f>
        <v>0</v>
      </c>
      <c r="L80" s="114">
        <f>IF(A80="","",IFERROR(SUMIFS('Auditoria Documental'!$N$7:$N$1000,'Auditoria Documental'!$A$7:$A$1000,A80)/SUMIFS('Auditoria Documental'!$M$7:$M$1000,'Auditoria Documental'!$A$7:$A$1000,A80),0))</f>
        <v>0</v>
      </c>
      <c r="M80" s="113">
        <f>IF(A80="","",COUNTIFS('Auditoria Documental'!$A$7:$A$1000,A80,'Auditoria Documental'!$J$7:$J$1000,3,'Auditoria Documental'!$K$7:$K$1000,"Não conforme"))</f>
        <v>0</v>
      </c>
      <c r="N80" s="114">
        <f>IF(A80="","",IFERROR(COUNTIFS('Auditoria Documental'!$A$7:$A$1000,A80,'Auditoria Documental'!$G$7:$G$1000,"7. Checklist da visita",'Auditoria Documental'!$K$7:$K$1000,"&lt;&gt;Não avaliado",'Auditoria Documental'!$K$7:$K$1000,"&lt;&gt;")/COUNTIF('Lista Mestra'!$B$7:$B$59,"7. Checklist da visita"),0))</f>
        <v>0</v>
      </c>
      <c r="O80" s="102"/>
    </row>
    <row r="81" ht="14.25" customHeight="1">
      <c r="A81" s="106" t="s">
        <v>2625</v>
      </c>
      <c r="B81" s="39" t="s">
        <v>817</v>
      </c>
      <c r="C81" s="102" t="str">
        <f t="array" ref="C81">IF(B81="","",IFERROR(INDEX('Cadastro Unidades'!$A$6:$A$222,MATCH(B81,'Cadastro Unidades'!$E$6:$E$222,0)),""))</f>
        <v>DAENT</v>
      </c>
      <c r="D81" s="102"/>
      <c r="E81" s="102"/>
      <c r="F81" s="112"/>
      <c r="G81" s="112"/>
      <c r="H81" s="102"/>
      <c r="I81" s="102"/>
      <c r="J81" s="113">
        <f>IF(A81="","",COUNTIF('Auditoria Documental'!$A$7:$A$1000,A81))</f>
        <v>0</v>
      </c>
      <c r="K81" s="113">
        <f>IF(A81="","",COUNTIFS('Auditoria Documental'!$A$7:$A$1000,A81,'Auditoria Documental'!$K$7:$K$1000,"&lt;&gt;Não avaliado",'Auditoria Documental'!$K$7:$K$1000,"&lt;&gt;"))</f>
        <v>0</v>
      </c>
      <c r="L81" s="114">
        <f>IF(A81="","",IFERROR(SUMIFS('Auditoria Documental'!$N$7:$N$1000,'Auditoria Documental'!$A$7:$A$1000,A81)/SUMIFS('Auditoria Documental'!$M$7:$M$1000,'Auditoria Documental'!$A$7:$A$1000,A81),0))</f>
        <v>0</v>
      </c>
      <c r="M81" s="113">
        <f>IF(A81="","",COUNTIFS('Auditoria Documental'!$A$7:$A$1000,A81,'Auditoria Documental'!$J$7:$J$1000,3,'Auditoria Documental'!$K$7:$K$1000,"Não conforme"))</f>
        <v>0</v>
      </c>
      <c r="N81" s="114">
        <f>IF(A81="","",IFERROR(COUNTIFS('Auditoria Documental'!$A$7:$A$1000,A81,'Auditoria Documental'!$G$7:$G$1000,"7. Checklist da visita",'Auditoria Documental'!$K$7:$K$1000,"&lt;&gt;Não avaliado",'Auditoria Documental'!$K$7:$K$1000,"&lt;&gt;")/COUNTIF('Lista Mestra'!$B$7:$B$59,"7. Checklist da visita"),0))</f>
        <v>0</v>
      </c>
      <c r="O81" s="102"/>
    </row>
    <row r="82" ht="14.25" customHeight="1">
      <c r="A82" s="106" t="s">
        <v>2626</v>
      </c>
      <c r="B82" s="39" t="s">
        <v>826</v>
      </c>
      <c r="C82" s="102" t="str">
        <f t="array" ref="C82">IF(B82="","",IFERROR(INDEX('Cadastro Unidades'!$A$6:$A$222,MATCH(B82,'Cadastro Unidades'!$E$6:$E$222,0)),""))</f>
        <v>DAENT</v>
      </c>
      <c r="D82" s="102"/>
      <c r="E82" s="102"/>
      <c r="F82" s="112"/>
      <c r="G82" s="112"/>
      <c r="H82" s="102"/>
      <c r="I82" s="102"/>
      <c r="J82" s="113">
        <f>IF(A82="","",COUNTIF('Auditoria Documental'!$A$7:$A$1000,A82))</f>
        <v>0</v>
      </c>
      <c r="K82" s="113">
        <f>IF(A82="","",COUNTIFS('Auditoria Documental'!$A$7:$A$1000,A82,'Auditoria Documental'!$K$7:$K$1000,"&lt;&gt;Não avaliado",'Auditoria Documental'!$K$7:$K$1000,"&lt;&gt;"))</f>
        <v>0</v>
      </c>
      <c r="L82" s="114">
        <f>IF(A82="","",IFERROR(SUMIFS('Auditoria Documental'!$N$7:$N$1000,'Auditoria Documental'!$A$7:$A$1000,A82)/SUMIFS('Auditoria Documental'!$M$7:$M$1000,'Auditoria Documental'!$A$7:$A$1000,A82),0))</f>
        <v>0</v>
      </c>
      <c r="M82" s="113">
        <f>IF(A82="","",COUNTIFS('Auditoria Documental'!$A$7:$A$1000,A82,'Auditoria Documental'!$J$7:$J$1000,3,'Auditoria Documental'!$K$7:$K$1000,"Não conforme"))</f>
        <v>0</v>
      </c>
      <c r="N82" s="114">
        <f>IF(A82="","",IFERROR(COUNTIFS('Auditoria Documental'!$A$7:$A$1000,A82,'Auditoria Documental'!$G$7:$G$1000,"7. Checklist da visita",'Auditoria Documental'!$K$7:$K$1000,"&lt;&gt;Não avaliado",'Auditoria Documental'!$K$7:$K$1000,"&lt;&gt;")/COUNTIF('Lista Mestra'!$B$7:$B$59,"7. Checklist da visita"),0))</f>
        <v>0</v>
      </c>
      <c r="O82" s="102"/>
    </row>
    <row r="83" ht="14.25" customHeight="1">
      <c r="A83" s="106" t="s">
        <v>2627</v>
      </c>
      <c r="B83" s="39" t="s">
        <v>837</v>
      </c>
      <c r="C83" s="102" t="str">
        <f t="array" ref="C83">IF(B83="","",IFERROR(INDEX('Cadastro Unidades'!$A$6:$A$222,MATCH(B83,'Cadastro Unidades'!$E$6:$E$222,0)),""))</f>
        <v>DAENT</v>
      </c>
      <c r="D83" s="102"/>
      <c r="E83" s="102"/>
      <c r="F83" s="112"/>
      <c r="G83" s="112"/>
      <c r="H83" s="102"/>
      <c r="I83" s="102"/>
      <c r="J83" s="113">
        <f>IF(A83="","",COUNTIF('Auditoria Documental'!$A$7:$A$1000,A83))</f>
        <v>0</v>
      </c>
      <c r="K83" s="113">
        <f>IF(A83="","",COUNTIFS('Auditoria Documental'!$A$7:$A$1000,A83,'Auditoria Documental'!$K$7:$K$1000,"&lt;&gt;Não avaliado",'Auditoria Documental'!$K$7:$K$1000,"&lt;&gt;"))</f>
        <v>0</v>
      </c>
      <c r="L83" s="114">
        <f>IF(A83="","",IFERROR(SUMIFS('Auditoria Documental'!$N$7:$N$1000,'Auditoria Documental'!$A$7:$A$1000,A83)/SUMIFS('Auditoria Documental'!$M$7:$M$1000,'Auditoria Documental'!$A$7:$A$1000,A83),0))</f>
        <v>0</v>
      </c>
      <c r="M83" s="113">
        <f>IF(A83="","",COUNTIFS('Auditoria Documental'!$A$7:$A$1000,A83,'Auditoria Documental'!$J$7:$J$1000,3,'Auditoria Documental'!$K$7:$K$1000,"Não conforme"))</f>
        <v>0</v>
      </c>
      <c r="N83" s="114">
        <f>IF(A83="","",IFERROR(COUNTIFS('Auditoria Documental'!$A$7:$A$1000,A83,'Auditoria Documental'!$G$7:$G$1000,"7. Checklist da visita",'Auditoria Documental'!$K$7:$K$1000,"&lt;&gt;Não avaliado",'Auditoria Documental'!$K$7:$K$1000,"&lt;&gt;")/COUNTIF('Lista Mestra'!$B$7:$B$59,"7. Checklist da visita"),0))</f>
        <v>0</v>
      </c>
      <c r="O83" s="102"/>
    </row>
    <row r="84" ht="14.25" customHeight="1">
      <c r="A84" s="106" t="s">
        <v>2628</v>
      </c>
      <c r="B84" s="39" t="s">
        <v>848</v>
      </c>
      <c r="C84" s="102" t="str">
        <f t="array" ref="C84">IF(B84="","",IFERROR(INDEX('Cadastro Unidades'!$A$6:$A$222,MATCH(B84,'Cadastro Unidades'!$E$6:$E$222,0)),""))</f>
        <v>DAENT</v>
      </c>
      <c r="D84" s="102"/>
      <c r="E84" s="102"/>
      <c r="F84" s="112"/>
      <c r="G84" s="112"/>
      <c r="H84" s="102"/>
      <c r="I84" s="102"/>
      <c r="J84" s="113">
        <f>IF(A84="","",COUNTIF('Auditoria Documental'!$A$7:$A$1000,A84))</f>
        <v>0</v>
      </c>
      <c r="K84" s="113">
        <f>IF(A84="","",COUNTIFS('Auditoria Documental'!$A$7:$A$1000,A84,'Auditoria Documental'!$K$7:$K$1000,"&lt;&gt;Não avaliado",'Auditoria Documental'!$K$7:$K$1000,"&lt;&gt;"))</f>
        <v>0</v>
      </c>
      <c r="L84" s="114">
        <f>IF(A84="","",IFERROR(SUMIFS('Auditoria Documental'!$N$7:$N$1000,'Auditoria Documental'!$A$7:$A$1000,A84)/SUMIFS('Auditoria Documental'!$M$7:$M$1000,'Auditoria Documental'!$A$7:$A$1000,A84),0))</f>
        <v>0</v>
      </c>
      <c r="M84" s="113">
        <f>IF(A84="","",COUNTIFS('Auditoria Documental'!$A$7:$A$1000,A84,'Auditoria Documental'!$J$7:$J$1000,3,'Auditoria Documental'!$K$7:$K$1000,"Não conforme"))</f>
        <v>0</v>
      </c>
      <c r="N84" s="114">
        <f>IF(A84="","",IFERROR(COUNTIFS('Auditoria Documental'!$A$7:$A$1000,A84,'Auditoria Documental'!$G$7:$G$1000,"7. Checklist da visita",'Auditoria Documental'!$K$7:$K$1000,"&lt;&gt;Não avaliado",'Auditoria Documental'!$K$7:$K$1000,"&lt;&gt;")/COUNTIF('Lista Mestra'!$B$7:$B$59,"7. Checklist da visita"),0))</f>
        <v>0</v>
      </c>
      <c r="O84" s="102"/>
    </row>
    <row r="85" ht="14.25" customHeight="1">
      <c r="A85" s="106" t="s">
        <v>2629</v>
      </c>
      <c r="B85" s="39" t="s">
        <v>859</v>
      </c>
      <c r="C85" s="102" t="str">
        <f t="array" ref="C85">IF(B85="","",IFERROR(INDEX('Cadastro Unidades'!$A$6:$A$222,MATCH(B85,'Cadastro Unidades'!$E$6:$E$222,0)),""))</f>
        <v>DAENT</v>
      </c>
      <c r="D85" s="102"/>
      <c r="E85" s="102"/>
      <c r="F85" s="112"/>
      <c r="G85" s="112"/>
      <c r="H85" s="102"/>
      <c r="I85" s="102"/>
      <c r="J85" s="113">
        <f>IF(A85="","",COUNTIF('Auditoria Documental'!$A$7:$A$1000,A85))</f>
        <v>0</v>
      </c>
      <c r="K85" s="113">
        <f>IF(A85="","",COUNTIFS('Auditoria Documental'!$A$7:$A$1000,A85,'Auditoria Documental'!$K$7:$K$1000,"&lt;&gt;Não avaliado",'Auditoria Documental'!$K$7:$K$1000,"&lt;&gt;"))</f>
        <v>0</v>
      </c>
      <c r="L85" s="114">
        <f>IF(A85="","",IFERROR(SUMIFS('Auditoria Documental'!$N$7:$N$1000,'Auditoria Documental'!$A$7:$A$1000,A85)/SUMIFS('Auditoria Documental'!$M$7:$M$1000,'Auditoria Documental'!$A$7:$A$1000,A85),0))</f>
        <v>0</v>
      </c>
      <c r="M85" s="113">
        <f>IF(A85="","",COUNTIFS('Auditoria Documental'!$A$7:$A$1000,A85,'Auditoria Documental'!$J$7:$J$1000,3,'Auditoria Documental'!$K$7:$K$1000,"Não conforme"))</f>
        <v>0</v>
      </c>
      <c r="N85" s="114">
        <f>IF(A85="","",IFERROR(COUNTIFS('Auditoria Documental'!$A$7:$A$1000,A85,'Auditoria Documental'!$G$7:$G$1000,"7. Checklist da visita",'Auditoria Documental'!$K$7:$K$1000,"&lt;&gt;Não avaliado",'Auditoria Documental'!$K$7:$K$1000,"&lt;&gt;")/COUNTIF('Lista Mestra'!$B$7:$B$59,"7. Checklist da visita"),0))</f>
        <v>0</v>
      </c>
      <c r="O85" s="102"/>
    </row>
    <row r="86" ht="14.25" customHeight="1">
      <c r="A86" s="106" t="s">
        <v>2630</v>
      </c>
      <c r="B86" s="39" t="s">
        <v>870</v>
      </c>
      <c r="C86" s="102" t="str">
        <f t="array" ref="C86">IF(B86="","",IFERROR(INDEX('Cadastro Unidades'!$A$6:$A$222,MATCH(B86,'Cadastro Unidades'!$E$6:$E$222,0)),""))</f>
        <v>DAENT</v>
      </c>
      <c r="D86" s="102"/>
      <c r="E86" s="102"/>
      <c r="F86" s="112"/>
      <c r="G86" s="112"/>
      <c r="H86" s="102"/>
      <c r="I86" s="102"/>
      <c r="J86" s="113">
        <f>IF(A86="","",COUNTIF('Auditoria Documental'!$A$7:$A$1000,A86))</f>
        <v>0</v>
      </c>
      <c r="K86" s="113">
        <f>IF(A86="","",COUNTIFS('Auditoria Documental'!$A$7:$A$1000,A86,'Auditoria Documental'!$K$7:$K$1000,"&lt;&gt;Não avaliado",'Auditoria Documental'!$K$7:$K$1000,"&lt;&gt;"))</f>
        <v>0</v>
      </c>
      <c r="L86" s="114">
        <f>IF(A86="","",IFERROR(SUMIFS('Auditoria Documental'!$N$7:$N$1000,'Auditoria Documental'!$A$7:$A$1000,A86)/SUMIFS('Auditoria Documental'!$M$7:$M$1000,'Auditoria Documental'!$A$7:$A$1000,A86),0))</f>
        <v>0</v>
      </c>
      <c r="M86" s="113">
        <f>IF(A86="","",COUNTIFS('Auditoria Documental'!$A$7:$A$1000,A86,'Auditoria Documental'!$J$7:$J$1000,3,'Auditoria Documental'!$K$7:$K$1000,"Não conforme"))</f>
        <v>0</v>
      </c>
      <c r="N86" s="114">
        <f>IF(A86="","",IFERROR(COUNTIFS('Auditoria Documental'!$A$7:$A$1000,A86,'Auditoria Documental'!$G$7:$G$1000,"7. Checklist da visita",'Auditoria Documental'!$K$7:$K$1000,"&lt;&gt;Não avaliado",'Auditoria Documental'!$K$7:$K$1000,"&lt;&gt;")/COUNTIF('Lista Mestra'!$B$7:$B$59,"7. Checklist da visita"),0))</f>
        <v>0</v>
      </c>
      <c r="O86" s="102"/>
    </row>
    <row r="87" ht="14.25" customHeight="1">
      <c r="A87" s="106" t="s">
        <v>2631</v>
      </c>
      <c r="B87" s="39" t="s">
        <v>879</v>
      </c>
      <c r="C87" s="102" t="str">
        <f t="array" ref="C87">IF(B87="","",IFERROR(INDEX('Cadastro Unidades'!$A$6:$A$222,MATCH(B87,'Cadastro Unidades'!$E$6:$E$222,0)),""))</f>
        <v>DAENT</v>
      </c>
      <c r="D87" s="102"/>
      <c r="E87" s="102"/>
      <c r="F87" s="112"/>
      <c r="G87" s="112"/>
      <c r="H87" s="102"/>
      <c r="I87" s="102"/>
      <c r="J87" s="113">
        <f>IF(A87="","",COUNTIF('Auditoria Documental'!$A$7:$A$1000,A87))</f>
        <v>0</v>
      </c>
      <c r="K87" s="113">
        <f>IF(A87="","",COUNTIFS('Auditoria Documental'!$A$7:$A$1000,A87,'Auditoria Documental'!$K$7:$K$1000,"&lt;&gt;Não avaliado",'Auditoria Documental'!$K$7:$K$1000,"&lt;&gt;"))</f>
        <v>0</v>
      </c>
      <c r="L87" s="114">
        <f>IF(A87="","",IFERROR(SUMIFS('Auditoria Documental'!$N$7:$N$1000,'Auditoria Documental'!$A$7:$A$1000,A87)/SUMIFS('Auditoria Documental'!$M$7:$M$1000,'Auditoria Documental'!$A$7:$A$1000,A87),0))</f>
        <v>0</v>
      </c>
      <c r="M87" s="113">
        <f>IF(A87="","",COUNTIFS('Auditoria Documental'!$A$7:$A$1000,A87,'Auditoria Documental'!$J$7:$J$1000,3,'Auditoria Documental'!$K$7:$K$1000,"Não conforme"))</f>
        <v>0</v>
      </c>
      <c r="N87" s="114">
        <f>IF(A87="","",IFERROR(COUNTIFS('Auditoria Documental'!$A$7:$A$1000,A87,'Auditoria Documental'!$G$7:$G$1000,"7. Checklist da visita",'Auditoria Documental'!$K$7:$K$1000,"&lt;&gt;Não avaliado",'Auditoria Documental'!$K$7:$K$1000,"&lt;&gt;")/COUNTIF('Lista Mestra'!$B$7:$B$59,"7. Checklist da visita"),0))</f>
        <v>0</v>
      </c>
      <c r="O87" s="102"/>
    </row>
    <row r="88" ht="14.25" customHeight="1">
      <c r="A88" s="106" t="s">
        <v>2632</v>
      </c>
      <c r="B88" s="39" t="s">
        <v>891</v>
      </c>
      <c r="C88" s="102" t="str">
        <f t="array" ref="C88">IF(B88="","",IFERROR(INDEX('Cadastro Unidades'!$A$6:$A$222,MATCH(B88,'Cadastro Unidades'!$E$6:$E$222,0)),""))</f>
        <v>DAENT</v>
      </c>
      <c r="D88" s="102"/>
      <c r="E88" s="102"/>
      <c r="F88" s="112"/>
      <c r="G88" s="112"/>
      <c r="H88" s="102"/>
      <c r="I88" s="102"/>
      <c r="J88" s="113">
        <f>IF(A88="","",COUNTIF('Auditoria Documental'!$A$7:$A$1000,A88))</f>
        <v>0</v>
      </c>
      <c r="K88" s="113">
        <f>IF(A88="","",COUNTIFS('Auditoria Documental'!$A$7:$A$1000,A88,'Auditoria Documental'!$K$7:$K$1000,"&lt;&gt;Não avaliado",'Auditoria Documental'!$K$7:$K$1000,"&lt;&gt;"))</f>
        <v>0</v>
      </c>
      <c r="L88" s="114">
        <f>IF(A88="","",IFERROR(SUMIFS('Auditoria Documental'!$N$7:$N$1000,'Auditoria Documental'!$A$7:$A$1000,A88)/SUMIFS('Auditoria Documental'!$M$7:$M$1000,'Auditoria Documental'!$A$7:$A$1000,A88),0))</f>
        <v>0</v>
      </c>
      <c r="M88" s="113">
        <f>IF(A88="","",COUNTIFS('Auditoria Documental'!$A$7:$A$1000,A88,'Auditoria Documental'!$J$7:$J$1000,3,'Auditoria Documental'!$K$7:$K$1000,"Não conforme"))</f>
        <v>0</v>
      </c>
      <c r="N88" s="114">
        <f>IF(A88="","",IFERROR(COUNTIFS('Auditoria Documental'!$A$7:$A$1000,A88,'Auditoria Documental'!$G$7:$G$1000,"7. Checklist da visita",'Auditoria Documental'!$K$7:$K$1000,"&lt;&gt;Não avaliado",'Auditoria Documental'!$K$7:$K$1000,"&lt;&gt;")/COUNTIF('Lista Mestra'!$B$7:$B$59,"7. Checklist da visita"),0))</f>
        <v>0</v>
      </c>
      <c r="O88" s="102"/>
    </row>
    <row r="89" ht="14.25" customHeight="1">
      <c r="A89" s="106" t="s">
        <v>2633</v>
      </c>
      <c r="B89" s="39" t="s">
        <v>902</v>
      </c>
      <c r="C89" s="102" t="str">
        <f t="array" ref="C89">IF(B89="","",IFERROR(INDEX('Cadastro Unidades'!$A$6:$A$222,MATCH(B89,'Cadastro Unidades'!$E$6:$E$222,0)),""))</f>
        <v>DAENT</v>
      </c>
      <c r="D89" s="102"/>
      <c r="E89" s="102"/>
      <c r="F89" s="112"/>
      <c r="G89" s="112"/>
      <c r="H89" s="102"/>
      <c r="I89" s="102"/>
      <c r="J89" s="113">
        <f>IF(A89="","",COUNTIF('Auditoria Documental'!$A$7:$A$1000,A89))</f>
        <v>0</v>
      </c>
      <c r="K89" s="113">
        <f>IF(A89="","",COUNTIFS('Auditoria Documental'!$A$7:$A$1000,A89,'Auditoria Documental'!$K$7:$K$1000,"&lt;&gt;Não avaliado",'Auditoria Documental'!$K$7:$K$1000,"&lt;&gt;"))</f>
        <v>0</v>
      </c>
      <c r="L89" s="114">
        <f>IF(A89="","",IFERROR(SUMIFS('Auditoria Documental'!$N$7:$N$1000,'Auditoria Documental'!$A$7:$A$1000,A89)/SUMIFS('Auditoria Documental'!$M$7:$M$1000,'Auditoria Documental'!$A$7:$A$1000,A89),0))</f>
        <v>0</v>
      </c>
      <c r="M89" s="113">
        <f>IF(A89="","",COUNTIFS('Auditoria Documental'!$A$7:$A$1000,A89,'Auditoria Documental'!$J$7:$J$1000,3,'Auditoria Documental'!$K$7:$K$1000,"Não conforme"))</f>
        <v>0</v>
      </c>
      <c r="N89" s="114">
        <f>IF(A89="","",IFERROR(COUNTIFS('Auditoria Documental'!$A$7:$A$1000,A89,'Auditoria Documental'!$G$7:$G$1000,"7. Checklist da visita",'Auditoria Documental'!$K$7:$K$1000,"&lt;&gt;Não avaliado",'Auditoria Documental'!$K$7:$K$1000,"&lt;&gt;")/COUNTIF('Lista Mestra'!$B$7:$B$59,"7. Checklist da visita"),0))</f>
        <v>0</v>
      </c>
      <c r="O89" s="102"/>
    </row>
    <row r="90" ht="14.25" customHeight="1">
      <c r="A90" s="106" t="s">
        <v>2634</v>
      </c>
      <c r="B90" s="39" t="s">
        <v>917</v>
      </c>
      <c r="C90" s="102" t="str">
        <f t="array" ref="C90">IF(B90="","",IFERROR(INDEX('Cadastro Unidades'!$A$6:$A$222,MATCH(B90,'Cadastro Unidades'!$E$6:$E$222,0)),""))</f>
        <v>DAGUA</v>
      </c>
      <c r="D90" s="102"/>
      <c r="E90" s="102"/>
      <c r="F90" s="112"/>
      <c r="G90" s="112"/>
      <c r="H90" s="102"/>
      <c r="I90" s="102"/>
      <c r="J90" s="113">
        <f>IF(A90="","",COUNTIF('Auditoria Documental'!$A$7:$A$1000,A90))</f>
        <v>0</v>
      </c>
      <c r="K90" s="113">
        <f>IF(A90="","",COUNTIFS('Auditoria Documental'!$A$7:$A$1000,A90,'Auditoria Documental'!$K$7:$K$1000,"&lt;&gt;Não avaliado",'Auditoria Documental'!$K$7:$K$1000,"&lt;&gt;"))</f>
        <v>0</v>
      </c>
      <c r="L90" s="114">
        <f>IF(A90="","",IFERROR(SUMIFS('Auditoria Documental'!$N$7:$N$1000,'Auditoria Documental'!$A$7:$A$1000,A90)/SUMIFS('Auditoria Documental'!$M$7:$M$1000,'Auditoria Documental'!$A$7:$A$1000,A90),0))</f>
        <v>0</v>
      </c>
      <c r="M90" s="113">
        <f>IF(A90="","",COUNTIFS('Auditoria Documental'!$A$7:$A$1000,A90,'Auditoria Documental'!$J$7:$J$1000,3,'Auditoria Documental'!$K$7:$K$1000,"Não conforme"))</f>
        <v>0</v>
      </c>
      <c r="N90" s="114">
        <f>IF(A90="","",IFERROR(COUNTIFS('Auditoria Documental'!$A$7:$A$1000,A90,'Auditoria Documental'!$G$7:$G$1000,"7. Checklist da visita",'Auditoria Documental'!$K$7:$K$1000,"&lt;&gt;Não avaliado",'Auditoria Documental'!$K$7:$K$1000,"&lt;&gt;")/COUNTIF('Lista Mestra'!$B$7:$B$59,"7. Checklist da visita"),0))</f>
        <v>0</v>
      </c>
      <c r="O90" s="102"/>
    </row>
    <row r="91" ht="14.25" customHeight="1">
      <c r="A91" s="106" t="s">
        <v>2635</v>
      </c>
      <c r="B91" s="39" t="s">
        <v>929</v>
      </c>
      <c r="C91" s="102" t="str">
        <f t="array" ref="C91">IF(B91="","",IFERROR(INDEX('Cadastro Unidades'!$A$6:$A$222,MATCH(B91,'Cadastro Unidades'!$E$6:$E$222,0)),""))</f>
        <v>DAGUA</v>
      </c>
      <c r="D91" s="102"/>
      <c r="E91" s="102"/>
      <c r="F91" s="112"/>
      <c r="G91" s="112"/>
      <c r="H91" s="102"/>
      <c r="I91" s="102"/>
      <c r="J91" s="113">
        <f>IF(A91="","",COUNTIF('Auditoria Documental'!$A$7:$A$1000,A91))</f>
        <v>0</v>
      </c>
      <c r="K91" s="113">
        <f>IF(A91="","",COUNTIFS('Auditoria Documental'!$A$7:$A$1000,A91,'Auditoria Documental'!$K$7:$K$1000,"&lt;&gt;Não avaliado",'Auditoria Documental'!$K$7:$K$1000,"&lt;&gt;"))</f>
        <v>0</v>
      </c>
      <c r="L91" s="114">
        <f>IF(A91="","",IFERROR(SUMIFS('Auditoria Documental'!$N$7:$N$1000,'Auditoria Documental'!$A$7:$A$1000,A91)/SUMIFS('Auditoria Documental'!$M$7:$M$1000,'Auditoria Documental'!$A$7:$A$1000,A91),0))</f>
        <v>0</v>
      </c>
      <c r="M91" s="113">
        <f>IF(A91="","",COUNTIFS('Auditoria Documental'!$A$7:$A$1000,A91,'Auditoria Documental'!$J$7:$J$1000,3,'Auditoria Documental'!$K$7:$K$1000,"Não conforme"))</f>
        <v>0</v>
      </c>
      <c r="N91" s="114">
        <f>IF(A91="","",IFERROR(COUNTIFS('Auditoria Documental'!$A$7:$A$1000,A91,'Auditoria Documental'!$G$7:$G$1000,"7. Checklist da visita",'Auditoria Documental'!$K$7:$K$1000,"&lt;&gt;Não avaliado",'Auditoria Documental'!$K$7:$K$1000,"&lt;&gt;")/COUNTIF('Lista Mestra'!$B$7:$B$59,"7. Checklist da visita"),0))</f>
        <v>0</v>
      </c>
      <c r="O91" s="102"/>
    </row>
    <row r="92" ht="14.25" customHeight="1">
      <c r="A92" s="106" t="s">
        <v>2636</v>
      </c>
      <c r="B92" s="39" t="s">
        <v>940</v>
      </c>
      <c r="C92" s="102" t="str">
        <f t="array" ref="C92">IF(B92="","",IFERROR(INDEX('Cadastro Unidades'!$A$6:$A$222,MATCH(B92,'Cadastro Unidades'!$E$6:$E$222,0)),""))</f>
        <v>DAGUA</v>
      </c>
      <c r="D92" s="102"/>
      <c r="E92" s="102"/>
      <c r="F92" s="112"/>
      <c r="G92" s="112"/>
      <c r="H92" s="102"/>
      <c r="I92" s="102"/>
      <c r="J92" s="113">
        <f>IF(A92="","",COUNTIF('Auditoria Documental'!$A$7:$A$1000,A92))</f>
        <v>0</v>
      </c>
      <c r="K92" s="113">
        <f>IF(A92="","",COUNTIFS('Auditoria Documental'!$A$7:$A$1000,A92,'Auditoria Documental'!$K$7:$K$1000,"&lt;&gt;Não avaliado",'Auditoria Documental'!$K$7:$K$1000,"&lt;&gt;"))</f>
        <v>0</v>
      </c>
      <c r="L92" s="114">
        <f>IF(A92="","",IFERROR(SUMIFS('Auditoria Documental'!$N$7:$N$1000,'Auditoria Documental'!$A$7:$A$1000,A92)/SUMIFS('Auditoria Documental'!$M$7:$M$1000,'Auditoria Documental'!$A$7:$A$1000,A92),0))</f>
        <v>0</v>
      </c>
      <c r="M92" s="113">
        <f>IF(A92="","",COUNTIFS('Auditoria Documental'!$A$7:$A$1000,A92,'Auditoria Documental'!$J$7:$J$1000,3,'Auditoria Documental'!$K$7:$K$1000,"Não conforme"))</f>
        <v>0</v>
      </c>
      <c r="N92" s="114">
        <f>IF(A92="","",IFERROR(COUNTIFS('Auditoria Documental'!$A$7:$A$1000,A92,'Auditoria Documental'!$G$7:$G$1000,"7. Checklist da visita",'Auditoria Documental'!$K$7:$K$1000,"&lt;&gt;Não avaliado",'Auditoria Documental'!$K$7:$K$1000,"&lt;&gt;")/COUNTIF('Lista Mestra'!$B$7:$B$59,"7. Checklist da visita"),0))</f>
        <v>0</v>
      </c>
      <c r="O92" s="102"/>
    </row>
    <row r="93" ht="14.25" customHeight="1">
      <c r="A93" s="106" t="s">
        <v>2637</v>
      </c>
      <c r="B93" s="39" t="s">
        <v>951</v>
      </c>
      <c r="C93" s="102" t="str">
        <f t="array" ref="C93">IF(B93="","",IFERROR(INDEX('Cadastro Unidades'!$A$6:$A$222,MATCH(B93,'Cadastro Unidades'!$E$6:$E$222,0)),""))</f>
        <v>DAGUA</v>
      </c>
      <c r="D93" s="102"/>
      <c r="E93" s="102"/>
      <c r="F93" s="112"/>
      <c r="G93" s="112"/>
      <c r="H93" s="102"/>
      <c r="I93" s="102"/>
      <c r="J93" s="113">
        <f>IF(A93="","",COUNTIF('Auditoria Documental'!$A$7:$A$1000,A93))</f>
        <v>0</v>
      </c>
      <c r="K93" s="113">
        <f>IF(A93="","",COUNTIFS('Auditoria Documental'!$A$7:$A$1000,A93,'Auditoria Documental'!$K$7:$K$1000,"&lt;&gt;Não avaliado",'Auditoria Documental'!$K$7:$K$1000,"&lt;&gt;"))</f>
        <v>0</v>
      </c>
      <c r="L93" s="114">
        <f>IF(A93="","",IFERROR(SUMIFS('Auditoria Documental'!$N$7:$N$1000,'Auditoria Documental'!$A$7:$A$1000,A93)/SUMIFS('Auditoria Documental'!$M$7:$M$1000,'Auditoria Documental'!$A$7:$A$1000,A93),0))</f>
        <v>0</v>
      </c>
      <c r="M93" s="113">
        <f>IF(A93="","",COUNTIFS('Auditoria Documental'!$A$7:$A$1000,A93,'Auditoria Documental'!$J$7:$J$1000,3,'Auditoria Documental'!$K$7:$K$1000,"Não conforme"))</f>
        <v>0</v>
      </c>
      <c r="N93" s="114">
        <f>IF(A93="","",IFERROR(COUNTIFS('Auditoria Documental'!$A$7:$A$1000,A93,'Auditoria Documental'!$G$7:$G$1000,"7. Checklist da visita",'Auditoria Documental'!$K$7:$K$1000,"&lt;&gt;Não avaliado",'Auditoria Documental'!$K$7:$K$1000,"&lt;&gt;")/COUNTIF('Lista Mestra'!$B$7:$B$59,"7. Checklist da visita"),0))</f>
        <v>0</v>
      </c>
      <c r="O93" s="102"/>
    </row>
    <row r="94" ht="14.25" customHeight="1">
      <c r="A94" s="106" t="s">
        <v>2638</v>
      </c>
      <c r="B94" s="39" t="s">
        <v>962</v>
      </c>
      <c r="C94" s="102" t="str">
        <f t="array" ref="C94">IF(B94="","",IFERROR(INDEX('Cadastro Unidades'!$A$6:$A$222,MATCH(B94,'Cadastro Unidades'!$E$6:$E$222,0)),""))</f>
        <v>DAGUA</v>
      </c>
      <c r="D94" s="102"/>
      <c r="E94" s="102"/>
      <c r="F94" s="112"/>
      <c r="G94" s="112"/>
      <c r="H94" s="102"/>
      <c r="I94" s="102"/>
      <c r="J94" s="113">
        <f>IF(A94="","",COUNTIF('Auditoria Documental'!$A$7:$A$1000,A94))</f>
        <v>0</v>
      </c>
      <c r="K94" s="113">
        <f>IF(A94="","",COUNTIFS('Auditoria Documental'!$A$7:$A$1000,A94,'Auditoria Documental'!$K$7:$K$1000,"&lt;&gt;Não avaliado",'Auditoria Documental'!$K$7:$K$1000,"&lt;&gt;"))</f>
        <v>0</v>
      </c>
      <c r="L94" s="114">
        <f>IF(A94="","",IFERROR(SUMIFS('Auditoria Documental'!$N$7:$N$1000,'Auditoria Documental'!$A$7:$A$1000,A94)/SUMIFS('Auditoria Documental'!$M$7:$M$1000,'Auditoria Documental'!$A$7:$A$1000,A94),0))</f>
        <v>0</v>
      </c>
      <c r="M94" s="113">
        <f>IF(A94="","",COUNTIFS('Auditoria Documental'!$A$7:$A$1000,A94,'Auditoria Documental'!$J$7:$J$1000,3,'Auditoria Documental'!$K$7:$K$1000,"Não conforme"))</f>
        <v>0</v>
      </c>
      <c r="N94" s="114">
        <f>IF(A94="","",IFERROR(COUNTIFS('Auditoria Documental'!$A$7:$A$1000,A94,'Auditoria Documental'!$G$7:$G$1000,"7. Checklist da visita",'Auditoria Documental'!$K$7:$K$1000,"&lt;&gt;Não avaliado",'Auditoria Documental'!$K$7:$K$1000,"&lt;&gt;")/COUNTIF('Lista Mestra'!$B$7:$B$59,"7. Checklist da visita"),0))</f>
        <v>0</v>
      </c>
      <c r="O94" s="102"/>
    </row>
    <row r="95" ht="14.25" customHeight="1">
      <c r="A95" s="106" t="s">
        <v>2639</v>
      </c>
      <c r="B95" s="39" t="s">
        <v>973</v>
      </c>
      <c r="C95" s="102" t="str">
        <f t="array" ref="C95">IF(B95="","",IFERROR(INDEX('Cadastro Unidades'!$A$6:$A$222,MATCH(B95,'Cadastro Unidades'!$E$6:$E$222,0)),""))</f>
        <v>DAGUA</v>
      </c>
      <c r="D95" s="102"/>
      <c r="E95" s="102"/>
      <c r="F95" s="112"/>
      <c r="G95" s="112"/>
      <c r="H95" s="102"/>
      <c r="I95" s="102"/>
      <c r="J95" s="113">
        <f>IF(A95="","",COUNTIF('Auditoria Documental'!$A$7:$A$1000,A95))</f>
        <v>0</v>
      </c>
      <c r="K95" s="113">
        <f>IF(A95="","",COUNTIFS('Auditoria Documental'!$A$7:$A$1000,A95,'Auditoria Documental'!$K$7:$K$1000,"&lt;&gt;Não avaliado",'Auditoria Documental'!$K$7:$K$1000,"&lt;&gt;"))</f>
        <v>0</v>
      </c>
      <c r="L95" s="114">
        <f>IF(A95="","",IFERROR(SUMIFS('Auditoria Documental'!$N$7:$N$1000,'Auditoria Documental'!$A$7:$A$1000,A95)/SUMIFS('Auditoria Documental'!$M$7:$M$1000,'Auditoria Documental'!$A$7:$A$1000,A95),0))</f>
        <v>0</v>
      </c>
      <c r="M95" s="113">
        <f>IF(A95="","",COUNTIFS('Auditoria Documental'!$A$7:$A$1000,A95,'Auditoria Documental'!$J$7:$J$1000,3,'Auditoria Documental'!$K$7:$K$1000,"Não conforme"))</f>
        <v>0</v>
      </c>
      <c r="N95" s="114">
        <f>IF(A95="","",IFERROR(COUNTIFS('Auditoria Documental'!$A$7:$A$1000,A95,'Auditoria Documental'!$G$7:$G$1000,"7. Checklist da visita",'Auditoria Documental'!$K$7:$K$1000,"&lt;&gt;Não avaliado",'Auditoria Documental'!$K$7:$K$1000,"&lt;&gt;")/COUNTIF('Lista Mestra'!$B$7:$B$59,"7. Checklist da visita"),0))</f>
        <v>0</v>
      </c>
      <c r="O95" s="102"/>
    </row>
    <row r="96" ht="14.25" customHeight="1">
      <c r="A96" s="106" t="s">
        <v>2640</v>
      </c>
      <c r="B96" s="39" t="s">
        <v>984</v>
      </c>
      <c r="C96" s="102" t="str">
        <f t="array" ref="C96">IF(B96="","",IFERROR(INDEX('Cadastro Unidades'!$A$6:$A$222,MATCH(B96,'Cadastro Unidades'!$E$6:$E$222,0)),""))</f>
        <v>DAGUA</v>
      </c>
      <c r="D96" s="102"/>
      <c r="E96" s="102"/>
      <c r="F96" s="112"/>
      <c r="G96" s="112"/>
      <c r="H96" s="102"/>
      <c r="I96" s="102"/>
      <c r="J96" s="113">
        <f>IF(A96="","",COUNTIF('Auditoria Documental'!$A$7:$A$1000,A96))</f>
        <v>0</v>
      </c>
      <c r="K96" s="113">
        <f>IF(A96="","",COUNTIFS('Auditoria Documental'!$A$7:$A$1000,A96,'Auditoria Documental'!$K$7:$K$1000,"&lt;&gt;Não avaliado",'Auditoria Documental'!$K$7:$K$1000,"&lt;&gt;"))</f>
        <v>0</v>
      </c>
      <c r="L96" s="114">
        <f>IF(A96="","",IFERROR(SUMIFS('Auditoria Documental'!$N$7:$N$1000,'Auditoria Documental'!$A$7:$A$1000,A96)/SUMIFS('Auditoria Documental'!$M$7:$M$1000,'Auditoria Documental'!$A$7:$A$1000,A96),0))</f>
        <v>0</v>
      </c>
      <c r="M96" s="113">
        <f>IF(A96="","",COUNTIFS('Auditoria Documental'!$A$7:$A$1000,A96,'Auditoria Documental'!$J$7:$J$1000,3,'Auditoria Documental'!$K$7:$K$1000,"Não conforme"))</f>
        <v>0</v>
      </c>
      <c r="N96" s="114">
        <f>IF(A96="","",IFERROR(COUNTIFS('Auditoria Documental'!$A$7:$A$1000,A96,'Auditoria Documental'!$G$7:$G$1000,"7. Checklist da visita",'Auditoria Documental'!$K$7:$K$1000,"&lt;&gt;Não avaliado",'Auditoria Documental'!$K$7:$K$1000,"&lt;&gt;")/COUNTIF('Lista Mestra'!$B$7:$B$59,"7. Checklist da visita"),0))</f>
        <v>0</v>
      </c>
      <c r="O96" s="102"/>
    </row>
    <row r="97" ht="14.25" customHeight="1">
      <c r="A97" s="106" t="s">
        <v>2641</v>
      </c>
      <c r="B97" s="41" t="s">
        <v>993</v>
      </c>
      <c r="C97" s="102" t="str">
        <f t="array" ref="C97">IF(B97="","",IFERROR(INDEX('Cadastro Unidades'!$A$6:$A$222,MATCH(B97,'Cadastro Unidades'!$E$6:$E$222,0)),""))</f>
        <v>DAGUA</v>
      </c>
      <c r="D97" s="102"/>
      <c r="E97" s="102"/>
      <c r="F97" s="112"/>
      <c r="G97" s="112"/>
      <c r="H97" s="102"/>
      <c r="I97" s="102"/>
      <c r="J97" s="113">
        <f>IF(A97="","",COUNTIF('Auditoria Documental'!$A$7:$A$1000,A97))</f>
        <v>0</v>
      </c>
      <c r="K97" s="113">
        <f>IF(A97="","",COUNTIFS('Auditoria Documental'!$A$7:$A$1000,A97,'Auditoria Documental'!$K$7:$K$1000,"&lt;&gt;Não avaliado",'Auditoria Documental'!$K$7:$K$1000,"&lt;&gt;"))</f>
        <v>0</v>
      </c>
      <c r="L97" s="114">
        <f>IF(A97="","",IFERROR(SUMIFS('Auditoria Documental'!$N$7:$N$1000,'Auditoria Documental'!$A$7:$A$1000,A97)/SUMIFS('Auditoria Documental'!$M$7:$M$1000,'Auditoria Documental'!$A$7:$A$1000,A97),0))</f>
        <v>0</v>
      </c>
      <c r="M97" s="113">
        <f>IF(A97="","",COUNTIFS('Auditoria Documental'!$A$7:$A$1000,A97,'Auditoria Documental'!$J$7:$J$1000,3,'Auditoria Documental'!$K$7:$K$1000,"Não conforme"))</f>
        <v>0</v>
      </c>
      <c r="N97" s="114">
        <f>IF(A97="","",IFERROR(COUNTIFS('Auditoria Documental'!$A$7:$A$1000,A97,'Auditoria Documental'!$G$7:$G$1000,"7. Checklist da visita",'Auditoria Documental'!$K$7:$K$1000,"&lt;&gt;Não avaliado",'Auditoria Documental'!$K$7:$K$1000,"&lt;&gt;")/COUNTIF('Lista Mestra'!$B$7:$B$59,"7. Checklist da visita"),0))</f>
        <v>0</v>
      </c>
      <c r="O97" s="102"/>
    </row>
    <row r="98" ht="14.25" customHeight="1">
      <c r="A98" s="106" t="s">
        <v>2642</v>
      </c>
      <c r="B98" s="39" t="s">
        <v>1003</v>
      </c>
      <c r="C98" s="102" t="str">
        <f t="array" ref="C98">IF(B98="","",IFERROR(INDEX('Cadastro Unidades'!$A$6:$A$222,MATCH(B98,'Cadastro Unidades'!$E$6:$E$222,0)),""))</f>
        <v>DAGUA</v>
      </c>
      <c r="D98" s="102"/>
      <c r="E98" s="102"/>
      <c r="F98" s="112"/>
      <c r="G98" s="112"/>
      <c r="H98" s="102"/>
      <c r="I98" s="102"/>
      <c r="J98" s="113">
        <f>IF(A98="","",COUNTIF('Auditoria Documental'!$A$7:$A$1000,A98))</f>
        <v>0</v>
      </c>
      <c r="K98" s="113">
        <f>IF(A98="","",COUNTIFS('Auditoria Documental'!$A$7:$A$1000,A98,'Auditoria Documental'!$K$7:$K$1000,"&lt;&gt;Não avaliado",'Auditoria Documental'!$K$7:$K$1000,"&lt;&gt;"))</f>
        <v>0</v>
      </c>
      <c r="L98" s="114">
        <f>IF(A98="","",IFERROR(SUMIFS('Auditoria Documental'!$N$7:$N$1000,'Auditoria Documental'!$A$7:$A$1000,A98)/SUMIFS('Auditoria Documental'!$M$7:$M$1000,'Auditoria Documental'!$A$7:$A$1000,A98),0))</f>
        <v>0</v>
      </c>
      <c r="M98" s="113">
        <f>IF(A98="","",COUNTIFS('Auditoria Documental'!$A$7:$A$1000,A98,'Auditoria Documental'!$J$7:$J$1000,3,'Auditoria Documental'!$K$7:$K$1000,"Não conforme"))</f>
        <v>0</v>
      </c>
      <c r="N98" s="114">
        <f>IF(A98="","",IFERROR(COUNTIFS('Auditoria Documental'!$A$7:$A$1000,A98,'Auditoria Documental'!$G$7:$G$1000,"7. Checklist da visita",'Auditoria Documental'!$K$7:$K$1000,"&lt;&gt;Não avaliado",'Auditoria Documental'!$K$7:$K$1000,"&lt;&gt;")/COUNTIF('Lista Mestra'!$B$7:$B$59,"7. Checklist da visita"),0))</f>
        <v>0</v>
      </c>
      <c r="O98" s="102"/>
    </row>
    <row r="99" ht="14.25" customHeight="1">
      <c r="A99" s="106" t="s">
        <v>2643</v>
      </c>
      <c r="B99" s="39" t="s">
        <v>1010</v>
      </c>
      <c r="C99" s="102" t="str">
        <f t="array" ref="C99">IF(B99="","",IFERROR(INDEX('Cadastro Unidades'!$A$6:$A$222,MATCH(B99,'Cadastro Unidades'!$E$6:$E$222,0)),""))</f>
        <v>DAGUA</v>
      </c>
      <c r="D99" s="102"/>
      <c r="E99" s="102"/>
      <c r="F99" s="112"/>
      <c r="G99" s="112"/>
      <c r="H99" s="102"/>
      <c r="I99" s="102"/>
      <c r="J99" s="113">
        <f>IF(A99="","",COUNTIF('Auditoria Documental'!$A$7:$A$1000,A99))</f>
        <v>0</v>
      </c>
      <c r="K99" s="113">
        <f>IF(A99="","",COUNTIFS('Auditoria Documental'!$A$7:$A$1000,A99,'Auditoria Documental'!$K$7:$K$1000,"&lt;&gt;Não avaliado",'Auditoria Documental'!$K$7:$K$1000,"&lt;&gt;"))</f>
        <v>0</v>
      </c>
      <c r="L99" s="114">
        <f>IF(A99="","",IFERROR(SUMIFS('Auditoria Documental'!$N$7:$N$1000,'Auditoria Documental'!$A$7:$A$1000,A99)/SUMIFS('Auditoria Documental'!$M$7:$M$1000,'Auditoria Documental'!$A$7:$A$1000,A99),0))</f>
        <v>0</v>
      </c>
      <c r="M99" s="113">
        <f>IF(A99="","",COUNTIFS('Auditoria Documental'!$A$7:$A$1000,A99,'Auditoria Documental'!$J$7:$J$1000,3,'Auditoria Documental'!$K$7:$K$1000,"Não conforme"))</f>
        <v>0</v>
      </c>
      <c r="N99" s="114">
        <f>IF(A99="","",IFERROR(COUNTIFS('Auditoria Documental'!$A$7:$A$1000,A99,'Auditoria Documental'!$G$7:$G$1000,"7. Checklist da visita",'Auditoria Documental'!$K$7:$K$1000,"&lt;&gt;Não avaliado",'Auditoria Documental'!$K$7:$K$1000,"&lt;&gt;")/COUNTIF('Lista Mestra'!$B$7:$B$59,"7. Checklist da visita"),0))</f>
        <v>0</v>
      </c>
      <c r="O99" s="102"/>
    </row>
    <row r="100" ht="14.25" customHeight="1">
      <c r="A100" s="106" t="s">
        <v>2644</v>
      </c>
      <c r="B100" s="39" t="s">
        <v>1017</v>
      </c>
      <c r="C100" s="102" t="str">
        <f t="array" ref="C100">IF(B100="","",IFERROR(INDEX('Cadastro Unidades'!$A$6:$A$222,MATCH(B100,'Cadastro Unidades'!$E$6:$E$222,0)),""))</f>
        <v>DAGUA</v>
      </c>
      <c r="D100" s="102"/>
      <c r="E100" s="102"/>
      <c r="F100" s="112"/>
      <c r="G100" s="112"/>
      <c r="H100" s="102"/>
      <c r="I100" s="102"/>
      <c r="J100" s="113">
        <f>IF(A100="","",COUNTIF('Auditoria Documental'!$A$7:$A$1000,A100))</f>
        <v>0</v>
      </c>
      <c r="K100" s="113">
        <f>IF(A100="","",COUNTIFS('Auditoria Documental'!$A$7:$A$1000,A100,'Auditoria Documental'!$K$7:$K$1000,"&lt;&gt;Não avaliado",'Auditoria Documental'!$K$7:$K$1000,"&lt;&gt;"))</f>
        <v>0</v>
      </c>
      <c r="L100" s="114">
        <f>IF(A100="","",IFERROR(SUMIFS('Auditoria Documental'!$N$7:$N$1000,'Auditoria Documental'!$A$7:$A$1000,A100)/SUMIFS('Auditoria Documental'!$M$7:$M$1000,'Auditoria Documental'!$A$7:$A$1000,A100),0))</f>
        <v>0</v>
      </c>
      <c r="M100" s="113">
        <f>IF(A100="","",COUNTIFS('Auditoria Documental'!$A$7:$A$1000,A100,'Auditoria Documental'!$J$7:$J$1000,3,'Auditoria Documental'!$K$7:$K$1000,"Não conforme"))</f>
        <v>0</v>
      </c>
      <c r="N100" s="114">
        <f>IF(A100="","",IFERROR(COUNTIFS('Auditoria Documental'!$A$7:$A$1000,A100,'Auditoria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00" s="102"/>
    </row>
    <row r="101" ht="14.25" customHeight="1">
      <c r="A101" s="106" t="s">
        <v>2645</v>
      </c>
      <c r="B101" s="39" t="s">
        <v>1024</v>
      </c>
      <c r="C101" s="102" t="str">
        <f t="array" ref="C101">IF(B101="","",IFERROR(INDEX('Cadastro Unidades'!$A$6:$A$222,MATCH(B101,'Cadastro Unidades'!$E$6:$E$222,0)),""))</f>
        <v>DAGUA</v>
      </c>
      <c r="D101" s="102"/>
      <c r="E101" s="102"/>
      <c r="F101" s="112"/>
      <c r="G101" s="112"/>
      <c r="H101" s="102"/>
      <c r="I101" s="102"/>
      <c r="J101" s="113">
        <f>IF(A101="","",COUNTIF('Auditoria Documental'!$A$7:$A$1000,A101))</f>
        <v>0</v>
      </c>
      <c r="K101" s="113">
        <f>IF(A101="","",COUNTIFS('Auditoria Documental'!$A$7:$A$1000,A101,'Auditoria Documental'!$K$7:$K$1000,"&lt;&gt;Não avaliado",'Auditoria Documental'!$K$7:$K$1000,"&lt;&gt;"))</f>
        <v>0</v>
      </c>
      <c r="L101" s="114">
        <f>IF(A101="","",IFERROR(SUMIFS('Auditoria Documental'!$N$7:$N$1000,'Auditoria Documental'!$A$7:$A$1000,A101)/SUMIFS('Auditoria Documental'!$M$7:$M$1000,'Auditoria Documental'!$A$7:$A$1000,A101),0))</f>
        <v>0</v>
      </c>
      <c r="M101" s="113">
        <f>IF(A101="","",COUNTIFS('Auditoria Documental'!$A$7:$A$1000,A101,'Auditoria Documental'!$J$7:$J$1000,3,'Auditoria Documental'!$K$7:$K$1000,"Não conforme"))</f>
        <v>0</v>
      </c>
      <c r="N101" s="114">
        <f>IF(A101="","",IFERROR(COUNTIFS('Auditoria Documental'!$A$7:$A$1000,A101,'Auditoria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01" s="102"/>
    </row>
    <row r="102" ht="14.25" customHeight="1">
      <c r="A102" s="106" t="s">
        <v>2646</v>
      </c>
      <c r="B102" s="39" t="s">
        <v>1034</v>
      </c>
      <c r="C102" s="102" t="str">
        <f t="array" ref="C102">IF(B102="","",IFERROR(INDEX('Cadastro Unidades'!$A$6:$A$222,MATCH(B102,'Cadastro Unidades'!$E$6:$E$222,0)),""))</f>
        <v>DAGUA</v>
      </c>
      <c r="D102" s="102"/>
      <c r="E102" s="102"/>
      <c r="F102" s="112"/>
      <c r="G102" s="112"/>
      <c r="H102" s="102"/>
      <c r="I102" s="102"/>
      <c r="J102" s="113">
        <f>IF(A102="","",COUNTIF('Auditoria Documental'!$A$7:$A$1000,A102))</f>
        <v>0</v>
      </c>
      <c r="K102" s="113">
        <f>IF(A102="","",COUNTIFS('Auditoria Documental'!$A$7:$A$1000,A102,'Auditoria Documental'!$K$7:$K$1000,"&lt;&gt;Não avaliado",'Auditoria Documental'!$K$7:$K$1000,"&lt;&gt;"))</f>
        <v>0</v>
      </c>
      <c r="L102" s="114">
        <f>IF(A102="","",IFERROR(SUMIFS('Auditoria Documental'!$N$7:$N$1000,'Auditoria Documental'!$A$7:$A$1000,A102)/SUMIFS('Auditoria Documental'!$M$7:$M$1000,'Auditoria Documental'!$A$7:$A$1000,A102),0))</f>
        <v>0</v>
      </c>
      <c r="M102" s="113">
        <f>IF(A102="","",COUNTIFS('Auditoria Documental'!$A$7:$A$1000,A102,'Auditoria Documental'!$J$7:$J$1000,3,'Auditoria Documental'!$K$7:$K$1000,"Não conforme"))</f>
        <v>0</v>
      </c>
      <c r="N102" s="114">
        <f>IF(A102="","",IFERROR(COUNTIFS('Auditoria Documental'!$A$7:$A$1000,A102,'Auditoria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02" s="102"/>
    </row>
    <row r="103" ht="14.25" customHeight="1">
      <c r="A103" s="106" t="s">
        <v>2647</v>
      </c>
      <c r="B103" s="39" t="s">
        <v>1046</v>
      </c>
      <c r="C103" s="102" t="str">
        <f t="array" ref="C103">IF(B103="","",IFERROR(INDEX('Cadastro Unidades'!$A$6:$A$222,MATCH(B103,'Cadastro Unidades'!$E$6:$E$222,0)),""))</f>
        <v>DAGUA</v>
      </c>
      <c r="D103" s="102"/>
      <c r="E103" s="102"/>
      <c r="F103" s="112"/>
      <c r="G103" s="112"/>
      <c r="H103" s="102"/>
      <c r="I103" s="102"/>
      <c r="J103" s="113">
        <f>IF(A103="","",COUNTIF('Auditoria Documental'!$A$7:$A$1000,A103))</f>
        <v>0</v>
      </c>
      <c r="K103" s="113">
        <f>IF(A103="","",COUNTIFS('Auditoria Documental'!$A$7:$A$1000,A103,'Auditoria Documental'!$K$7:$K$1000,"&lt;&gt;Não avaliado",'Auditoria Documental'!$K$7:$K$1000,"&lt;&gt;"))</f>
        <v>0</v>
      </c>
      <c r="L103" s="114">
        <f>IF(A103="","",IFERROR(SUMIFS('Auditoria Documental'!$N$7:$N$1000,'Auditoria Documental'!$A$7:$A$1000,A103)/SUMIFS('Auditoria Documental'!$M$7:$M$1000,'Auditoria Documental'!$A$7:$A$1000,A103),0))</f>
        <v>0</v>
      </c>
      <c r="M103" s="113">
        <f>IF(A103="","",COUNTIFS('Auditoria Documental'!$A$7:$A$1000,A103,'Auditoria Documental'!$J$7:$J$1000,3,'Auditoria Documental'!$K$7:$K$1000,"Não conforme"))</f>
        <v>0</v>
      </c>
      <c r="N103" s="114">
        <f>IF(A103="","",IFERROR(COUNTIFS('Auditoria Documental'!$A$7:$A$1000,A103,'Auditoria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03" s="102"/>
    </row>
    <row r="104" ht="14.25" customHeight="1">
      <c r="A104" s="106" t="s">
        <v>2648</v>
      </c>
      <c r="B104" s="39" t="s">
        <v>1058</v>
      </c>
      <c r="C104" s="102" t="str">
        <f t="array" ref="C104">IF(B104="","",IFERROR(INDEX('Cadastro Unidades'!$A$6:$A$222,MATCH(B104,'Cadastro Unidades'!$E$6:$E$222,0)),""))</f>
        <v>DAGUA</v>
      </c>
      <c r="D104" s="102"/>
      <c r="E104" s="102"/>
      <c r="F104" s="112"/>
      <c r="G104" s="112"/>
      <c r="H104" s="102"/>
      <c r="I104" s="102"/>
      <c r="J104" s="113">
        <f>IF(A104="","",COUNTIF('Auditoria Documental'!$A$7:$A$1000,A104))</f>
        <v>0</v>
      </c>
      <c r="K104" s="113">
        <f>IF(A104="","",COUNTIFS('Auditoria Documental'!$A$7:$A$1000,A104,'Auditoria Documental'!$K$7:$K$1000,"&lt;&gt;Não avaliado",'Auditoria Documental'!$K$7:$K$1000,"&lt;&gt;"))</f>
        <v>0</v>
      </c>
      <c r="L104" s="114">
        <f>IF(A104="","",IFERROR(SUMIFS('Auditoria Documental'!$N$7:$N$1000,'Auditoria Documental'!$A$7:$A$1000,A104)/SUMIFS('Auditoria Documental'!$M$7:$M$1000,'Auditoria Documental'!$A$7:$A$1000,A104),0))</f>
        <v>0</v>
      </c>
      <c r="M104" s="113">
        <f>IF(A104="","",COUNTIFS('Auditoria Documental'!$A$7:$A$1000,A104,'Auditoria Documental'!$J$7:$J$1000,3,'Auditoria Documental'!$K$7:$K$1000,"Não conforme"))</f>
        <v>0</v>
      </c>
      <c r="N104" s="114">
        <f>IF(A104="","",IFERROR(COUNTIFS('Auditoria Documental'!$A$7:$A$1000,A104,'Auditoria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04" s="102"/>
    </row>
    <row r="105" ht="14.25" customHeight="1">
      <c r="A105" s="106" t="s">
        <v>2649</v>
      </c>
      <c r="B105" s="39" t="s">
        <v>1065</v>
      </c>
      <c r="C105" s="102" t="str">
        <f t="array" ref="C105">IF(B105="","",IFERROR(INDEX('Cadastro Unidades'!$A$6:$A$222,MATCH(B105,'Cadastro Unidades'!$E$6:$E$222,0)),""))</f>
        <v>DAGUA</v>
      </c>
      <c r="D105" s="102"/>
      <c r="E105" s="102"/>
      <c r="F105" s="112"/>
      <c r="G105" s="112"/>
      <c r="H105" s="102"/>
      <c r="I105" s="102"/>
      <c r="J105" s="113">
        <f>IF(A105="","",COUNTIF('Auditoria Documental'!$A$7:$A$1000,A105))</f>
        <v>0</v>
      </c>
      <c r="K105" s="113">
        <f>IF(A105="","",COUNTIFS('Auditoria Documental'!$A$7:$A$1000,A105,'Auditoria Documental'!$K$7:$K$1000,"&lt;&gt;Não avaliado",'Auditoria Documental'!$K$7:$K$1000,"&lt;&gt;"))</f>
        <v>0</v>
      </c>
      <c r="L105" s="114">
        <f>IF(A105="","",IFERROR(SUMIFS('Auditoria Documental'!$N$7:$N$1000,'Auditoria Documental'!$A$7:$A$1000,A105)/SUMIFS('Auditoria Documental'!$M$7:$M$1000,'Auditoria Documental'!$A$7:$A$1000,A105),0))</f>
        <v>0</v>
      </c>
      <c r="M105" s="113">
        <f>IF(A105="","",COUNTIFS('Auditoria Documental'!$A$7:$A$1000,A105,'Auditoria Documental'!$J$7:$J$1000,3,'Auditoria Documental'!$K$7:$K$1000,"Não conforme"))</f>
        <v>0</v>
      </c>
      <c r="N105" s="114">
        <f>IF(A105="","",IFERROR(COUNTIFS('Auditoria Documental'!$A$7:$A$1000,A105,'Auditoria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05" s="102"/>
    </row>
    <row r="106" ht="14.25" customHeight="1">
      <c r="A106" s="106" t="s">
        <v>2650</v>
      </c>
      <c r="B106" s="39" t="s">
        <v>1075</v>
      </c>
      <c r="C106" s="102" t="str">
        <f t="array" ref="C106">IF(B106="","",IFERROR(INDEX('Cadastro Unidades'!$A$6:$A$222,MATCH(B106,'Cadastro Unidades'!$E$6:$E$222,0)),""))</f>
        <v>DAGUA</v>
      </c>
      <c r="D106" s="102"/>
      <c r="E106" s="102"/>
      <c r="F106" s="112"/>
      <c r="G106" s="112"/>
      <c r="H106" s="102"/>
      <c r="I106" s="102"/>
      <c r="J106" s="113">
        <f>IF(A106="","",COUNTIF('Auditoria Documental'!$A$7:$A$1000,A106))</f>
        <v>0</v>
      </c>
      <c r="K106" s="113">
        <f>IF(A106="","",COUNTIFS('Auditoria Documental'!$A$7:$A$1000,A106,'Auditoria Documental'!$K$7:$K$1000,"&lt;&gt;Não avaliado",'Auditoria Documental'!$K$7:$K$1000,"&lt;&gt;"))</f>
        <v>0</v>
      </c>
      <c r="L106" s="114">
        <f>IF(A106="","",IFERROR(SUMIFS('Auditoria Documental'!$N$7:$N$1000,'Auditoria Documental'!$A$7:$A$1000,A106)/SUMIFS('Auditoria Documental'!$M$7:$M$1000,'Auditoria Documental'!$A$7:$A$1000,A106),0))</f>
        <v>0</v>
      </c>
      <c r="M106" s="113">
        <f>IF(A106="","",COUNTIFS('Auditoria Documental'!$A$7:$A$1000,A106,'Auditoria Documental'!$J$7:$J$1000,3,'Auditoria Documental'!$K$7:$K$1000,"Não conforme"))</f>
        <v>0</v>
      </c>
      <c r="N106" s="114">
        <f>IF(A106="","",IFERROR(COUNTIFS('Auditoria Documental'!$A$7:$A$1000,A106,'Auditoria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06" s="102"/>
    </row>
    <row r="107" ht="14.25" customHeight="1">
      <c r="A107" s="106" t="s">
        <v>2651</v>
      </c>
      <c r="B107" s="39" t="s">
        <v>1085</v>
      </c>
      <c r="C107" s="102" t="str">
        <f t="array" ref="C107">IF(B107="","",IFERROR(INDEX('Cadastro Unidades'!$A$6:$A$222,MATCH(B107,'Cadastro Unidades'!$E$6:$E$222,0)),""))</f>
        <v>DAGUA</v>
      </c>
      <c r="D107" s="102"/>
      <c r="E107" s="102"/>
      <c r="F107" s="112"/>
      <c r="G107" s="112"/>
      <c r="H107" s="102"/>
      <c r="I107" s="102"/>
      <c r="J107" s="113">
        <f>IF(A107="","",COUNTIF('Auditoria Documental'!$A$7:$A$1000,A107))</f>
        <v>0</v>
      </c>
      <c r="K107" s="113">
        <f>IF(A107="","",COUNTIFS('Auditoria Documental'!$A$7:$A$1000,A107,'Auditoria Documental'!$K$7:$K$1000,"&lt;&gt;Não avaliado",'Auditoria Documental'!$K$7:$K$1000,"&lt;&gt;"))</f>
        <v>0</v>
      </c>
      <c r="L107" s="114">
        <f>IF(A107="","",IFERROR(SUMIFS('Auditoria Documental'!$N$7:$N$1000,'Auditoria Documental'!$A$7:$A$1000,A107)/SUMIFS('Auditoria Documental'!$M$7:$M$1000,'Auditoria Documental'!$A$7:$A$1000,A107),0))</f>
        <v>0</v>
      </c>
      <c r="M107" s="113">
        <f>IF(A107="","",COUNTIFS('Auditoria Documental'!$A$7:$A$1000,A107,'Auditoria Documental'!$J$7:$J$1000,3,'Auditoria Documental'!$K$7:$K$1000,"Não conforme"))</f>
        <v>0</v>
      </c>
      <c r="N107" s="114">
        <f>IF(A107="","",IFERROR(COUNTIFS('Auditoria Documental'!$A$7:$A$1000,A107,'Auditoria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07" s="102"/>
    </row>
    <row r="108" ht="14.25" customHeight="1">
      <c r="A108" s="106" t="s">
        <v>2652</v>
      </c>
      <c r="B108" s="39" t="s">
        <v>1094</v>
      </c>
      <c r="C108" s="102" t="str">
        <f t="array" ref="C108">IF(B108="","",IFERROR(INDEX('Cadastro Unidades'!$A$6:$A$222,MATCH(B108,'Cadastro Unidades'!$E$6:$E$222,0)),""))</f>
        <v>DAGUA</v>
      </c>
      <c r="D108" s="102"/>
      <c r="E108" s="102"/>
      <c r="F108" s="112"/>
      <c r="G108" s="112"/>
      <c r="H108" s="102"/>
      <c r="I108" s="102"/>
      <c r="J108" s="113">
        <f>IF(A108="","",COUNTIF('Auditoria Documental'!$A$7:$A$1000,A108))</f>
        <v>0</v>
      </c>
      <c r="K108" s="113">
        <f>IF(A108="","",COUNTIFS('Auditoria Documental'!$A$7:$A$1000,A108,'Auditoria Documental'!$K$7:$K$1000,"&lt;&gt;Não avaliado",'Auditoria Documental'!$K$7:$K$1000,"&lt;&gt;"))</f>
        <v>0</v>
      </c>
      <c r="L108" s="114">
        <f>IF(A108="","",IFERROR(SUMIFS('Auditoria Documental'!$N$7:$N$1000,'Auditoria Documental'!$A$7:$A$1000,A108)/SUMIFS('Auditoria Documental'!$M$7:$M$1000,'Auditoria Documental'!$A$7:$A$1000,A108),0))</f>
        <v>0</v>
      </c>
      <c r="M108" s="113">
        <f>IF(A108="","",COUNTIFS('Auditoria Documental'!$A$7:$A$1000,A108,'Auditoria Documental'!$J$7:$J$1000,3,'Auditoria Documental'!$K$7:$K$1000,"Não conforme"))</f>
        <v>0</v>
      </c>
      <c r="N108" s="114">
        <f>IF(A108="","",IFERROR(COUNTIFS('Auditoria Documental'!$A$7:$A$1000,A108,'Auditoria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08" s="102"/>
    </row>
    <row r="109" ht="14.25" customHeight="1">
      <c r="A109" s="106" t="s">
        <v>2653</v>
      </c>
      <c r="B109" s="39" t="s">
        <v>1103</v>
      </c>
      <c r="C109" s="102" t="str">
        <f t="array" ref="C109">IF(B109="","",IFERROR(INDEX('Cadastro Unidades'!$A$6:$A$222,MATCH(B109,'Cadastro Unidades'!$E$6:$E$222,0)),""))</f>
        <v>DAGUA</v>
      </c>
      <c r="D109" s="102"/>
      <c r="E109" s="102"/>
      <c r="F109" s="112"/>
      <c r="G109" s="112"/>
      <c r="H109" s="102"/>
      <c r="I109" s="102"/>
      <c r="J109" s="113">
        <f>IF(A109="","",COUNTIF('Auditoria Documental'!$A$7:$A$1000,A109))</f>
        <v>0</v>
      </c>
      <c r="K109" s="113">
        <f>IF(A109="","",COUNTIFS('Auditoria Documental'!$A$7:$A$1000,A109,'Auditoria Documental'!$K$7:$K$1000,"&lt;&gt;Não avaliado",'Auditoria Documental'!$K$7:$K$1000,"&lt;&gt;"))</f>
        <v>0</v>
      </c>
      <c r="L109" s="114">
        <f>IF(A109="","",IFERROR(SUMIFS('Auditoria Documental'!$N$7:$N$1000,'Auditoria Documental'!$A$7:$A$1000,A109)/SUMIFS('Auditoria Documental'!$M$7:$M$1000,'Auditoria Documental'!$A$7:$A$1000,A109),0))</f>
        <v>0</v>
      </c>
      <c r="M109" s="113">
        <f>IF(A109="","",COUNTIFS('Auditoria Documental'!$A$7:$A$1000,A109,'Auditoria Documental'!$J$7:$J$1000,3,'Auditoria Documental'!$K$7:$K$1000,"Não conforme"))</f>
        <v>0</v>
      </c>
      <c r="N109" s="114">
        <f>IF(A109="","",IFERROR(COUNTIFS('Auditoria Documental'!$A$7:$A$1000,A109,'Auditoria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09" s="102"/>
    </row>
    <row r="110" ht="14.25" customHeight="1">
      <c r="A110" s="106" t="s">
        <v>2654</v>
      </c>
      <c r="B110" s="39" t="s">
        <v>1106</v>
      </c>
      <c r="C110" s="102" t="str">
        <f t="array" ref="C110">IF(B110="","",IFERROR(INDEX('Cadastro Unidades'!$A$6:$A$222,MATCH(B110,'Cadastro Unidades'!$E$6:$E$222,0)),""))</f>
        <v>DAGUA</v>
      </c>
      <c r="D110" s="102"/>
      <c r="E110" s="102"/>
      <c r="F110" s="112"/>
      <c r="G110" s="112"/>
      <c r="H110" s="102"/>
      <c r="I110" s="102"/>
      <c r="J110" s="113">
        <f>IF(A110="","",COUNTIF('Auditoria Documental'!$A$7:$A$1000,A110))</f>
        <v>0</v>
      </c>
      <c r="K110" s="113">
        <f>IF(A110="","",COUNTIFS('Auditoria Documental'!$A$7:$A$1000,A110,'Auditoria Documental'!$K$7:$K$1000,"&lt;&gt;Não avaliado",'Auditoria Documental'!$K$7:$K$1000,"&lt;&gt;"))</f>
        <v>0</v>
      </c>
      <c r="L110" s="114">
        <f>IF(A110="","",IFERROR(SUMIFS('Auditoria Documental'!$N$7:$N$1000,'Auditoria Documental'!$A$7:$A$1000,A110)/SUMIFS('Auditoria Documental'!$M$7:$M$1000,'Auditoria Documental'!$A$7:$A$1000,A110),0))</f>
        <v>0</v>
      </c>
      <c r="M110" s="113">
        <f>IF(A110="","",COUNTIFS('Auditoria Documental'!$A$7:$A$1000,A110,'Auditoria Documental'!$J$7:$J$1000,3,'Auditoria Documental'!$K$7:$K$1000,"Não conforme"))</f>
        <v>0</v>
      </c>
      <c r="N110" s="114">
        <f>IF(A110="","",IFERROR(COUNTIFS('Auditoria Documental'!$A$7:$A$1000,A110,'Auditoria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10" s="102"/>
    </row>
    <row r="111" ht="14.25" customHeight="1">
      <c r="A111" s="106" t="s">
        <v>2655</v>
      </c>
      <c r="B111" s="58" t="s">
        <v>1114</v>
      </c>
      <c r="C111" s="102" t="str">
        <f t="array" ref="C111">IF(B111="","",IFERROR(INDEX('Cadastro Unidades'!$A$6:$A$222,MATCH(B111,'Cadastro Unidades'!$E$6:$E$222,0)),""))</f>
        <v>DAGUA</v>
      </c>
      <c r="D111" s="102"/>
      <c r="E111" s="102"/>
      <c r="F111" s="112"/>
      <c r="G111" s="112"/>
      <c r="H111" s="102"/>
      <c r="I111" s="102"/>
      <c r="J111" s="113">
        <f>IF(A111="","",COUNTIF('Auditoria Documental'!$A$7:$A$1000,A111))</f>
        <v>0</v>
      </c>
      <c r="K111" s="113">
        <f>IF(A111="","",COUNTIFS('Auditoria Documental'!$A$7:$A$1000,A111,'Auditoria Documental'!$K$7:$K$1000,"&lt;&gt;Não avaliado",'Auditoria Documental'!$K$7:$K$1000,"&lt;&gt;"))</f>
        <v>0</v>
      </c>
      <c r="L111" s="114">
        <f>IF(A111="","",IFERROR(SUMIFS('Auditoria Documental'!$N$7:$N$1000,'Auditoria Documental'!$A$7:$A$1000,A111)/SUMIFS('Auditoria Documental'!$M$7:$M$1000,'Auditoria Documental'!$A$7:$A$1000,A111),0))</f>
        <v>0</v>
      </c>
      <c r="M111" s="113">
        <f>IF(A111="","",COUNTIFS('Auditoria Documental'!$A$7:$A$1000,A111,'Auditoria Documental'!$J$7:$J$1000,3,'Auditoria Documental'!$K$7:$K$1000,"Não conforme"))</f>
        <v>0</v>
      </c>
      <c r="N111" s="114">
        <f>IF(A111="","",IFERROR(COUNTIFS('Auditoria Documental'!$A$7:$A$1000,A111,'Auditoria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11" s="102"/>
    </row>
    <row r="112" ht="14.25" customHeight="1">
      <c r="A112" s="106" t="s">
        <v>2656</v>
      </c>
      <c r="B112" s="39" t="s">
        <v>1122</v>
      </c>
      <c r="C112" s="102" t="str">
        <f t="array" ref="C112">IF(B112="","",IFERROR(INDEX('Cadastro Unidades'!$A$6:$A$222,MATCH(B112,'Cadastro Unidades'!$E$6:$E$222,0)),""))</f>
        <v>DAGUA</v>
      </c>
      <c r="D112" s="102"/>
      <c r="E112" s="102"/>
      <c r="F112" s="112"/>
      <c r="G112" s="112"/>
      <c r="H112" s="102"/>
      <c r="I112" s="102"/>
      <c r="J112" s="113">
        <f>IF(A112="","",COUNTIF('Auditoria Documental'!$A$7:$A$1000,A112))</f>
        <v>0</v>
      </c>
      <c r="K112" s="113">
        <f>IF(A112="","",COUNTIFS('Auditoria Documental'!$A$7:$A$1000,A112,'Auditoria Documental'!$K$7:$K$1000,"&lt;&gt;Não avaliado",'Auditoria Documental'!$K$7:$K$1000,"&lt;&gt;"))</f>
        <v>0</v>
      </c>
      <c r="L112" s="114">
        <f>IF(A112="","",IFERROR(SUMIFS('Auditoria Documental'!$N$7:$N$1000,'Auditoria Documental'!$A$7:$A$1000,A112)/SUMIFS('Auditoria Documental'!$M$7:$M$1000,'Auditoria Documental'!$A$7:$A$1000,A112),0))</f>
        <v>0</v>
      </c>
      <c r="M112" s="113">
        <f>IF(A112="","",COUNTIFS('Auditoria Documental'!$A$7:$A$1000,A112,'Auditoria Documental'!$J$7:$J$1000,3,'Auditoria Documental'!$K$7:$K$1000,"Não conforme"))</f>
        <v>0</v>
      </c>
      <c r="N112" s="114">
        <f>IF(A112="","",IFERROR(COUNTIFS('Auditoria Documental'!$A$7:$A$1000,A112,'Auditoria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12" s="102"/>
    </row>
    <row r="113" ht="14.25" customHeight="1">
      <c r="A113" s="106" t="s">
        <v>2657</v>
      </c>
      <c r="B113" s="39" t="s">
        <v>1134</v>
      </c>
      <c r="C113" s="102" t="str">
        <f t="array" ref="C113">IF(B113="","",IFERROR(INDEX('Cadastro Unidades'!$A$6:$A$222,MATCH(B113,'Cadastro Unidades'!$E$6:$E$222,0)),""))</f>
        <v>DAGUA</v>
      </c>
      <c r="D113" s="102"/>
      <c r="E113" s="102"/>
      <c r="F113" s="112"/>
      <c r="G113" s="112"/>
      <c r="H113" s="102"/>
      <c r="I113" s="102"/>
      <c r="J113" s="113">
        <f>IF(A113="","",COUNTIF('Auditoria Documental'!$A$7:$A$1000,A113))</f>
        <v>0</v>
      </c>
      <c r="K113" s="113">
        <f>IF(A113="","",COUNTIFS('Auditoria Documental'!$A$7:$A$1000,A113,'Auditoria Documental'!$K$7:$K$1000,"&lt;&gt;Não avaliado",'Auditoria Documental'!$K$7:$K$1000,"&lt;&gt;"))</f>
        <v>0</v>
      </c>
      <c r="L113" s="114">
        <f>IF(A113="","",IFERROR(SUMIFS('Auditoria Documental'!$N$7:$N$1000,'Auditoria Documental'!$A$7:$A$1000,A113)/SUMIFS('Auditoria Documental'!$M$7:$M$1000,'Auditoria Documental'!$A$7:$A$1000,A113),0))</f>
        <v>0</v>
      </c>
      <c r="M113" s="113">
        <f>IF(A113="","",COUNTIFS('Auditoria Documental'!$A$7:$A$1000,A113,'Auditoria Documental'!$J$7:$J$1000,3,'Auditoria Documental'!$K$7:$K$1000,"Não conforme"))</f>
        <v>0</v>
      </c>
      <c r="N113" s="114">
        <f>IF(A113="","",IFERROR(COUNTIFS('Auditoria Documental'!$A$7:$A$1000,A113,'Auditoria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13" s="102"/>
    </row>
    <row r="114" ht="14.25" customHeight="1">
      <c r="A114" s="106" t="s">
        <v>2658</v>
      </c>
      <c r="B114" s="39" t="s">
        <v>1145</v>
      </c>
      <c r="C114" s="102" t="str">
        <f t="array" ref="C114">IF(B114="","",IFERROR(INDEX('Cadastro Unidades'!$A$6:$A$222,MATCH(B114,'Cadastro Unidades'!$E$6:$E$222,0)),""))</f>
        <v>DAGUA</v>
      </c>
      <c r="D114" s="102"/>
      <c r="E114" s="102"/>
      <c r="F114" s="112"/>
      <c r="G114" s="112"/>
      <c r="H114" s="102"/>
      <c r="I114" s="102"/>
      <c r="J114" s="113">
        <f>IF(A114="","",COUNTIF('Auditoria Documental'!$A$7:$A$1000,A114))</f>
        <v>0</v>
      </c>
      <c r="K114" s="113">
        <f>IF(A114="","",COUNTIFS('Auditoria Documental'!$A$7:$A$1000,A114,'Auditoria Documental'!$K$7:$K$1000,"&lt;&gt;Não avaliado",'Auditoria Documental'!$K$7:$K$1000,"&lt;&gt;"))</f>
        <v>0</v>
      </c>
      <c r="L114" s="114">
        <f>IF(A114="","",IFERROR(SUMIFS('Auditoria Documental'!$N$7:$N$1000,'Auditoria Documental'!$A$7:$A$1000,A114)/SUMIFS('Auditoria Documental'!$M$7:$M$1000,'Auditoria Documental'!$A$7:$A$1000,A114),0))</f>
        <v>0</v>
      </c>
      <c r="M114" s="113">
        <f>IF(A114="","",COUNTIFS('Auditoria Documental'!$A$7:$A$1000,A114,'Auditoria Documental'!$J$7:$J$1000,3,'Auditoria Documental'!$K$7:$K$1000,"Não conforme"))</f>
        <v>0</v>
      </c>
      <c r="N114" s="114">
        <f>IF(A114="","",IFERROR(COUNTIFS('Auditoria Documental'!$A$7:$A$1000,A114,'Auditoria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14" s="102"/>
    </row>
    <row r="115" ht="14.25" customHeight="1">
      <c r="A115" s="106" t="s">
        <v>2659</v>
      </c>
      <c r="B115" s="39" t="s">
        <v>1155</v>
      </c>
      <c r="C115" s="102" t="str">
        <f t="array" ref="C115">IF(B115="","",IFERROR(INDEX('Cadastro Unidades'!$A$6:$A$222,MATCH(B115,'Cadastro Unidades'!$E$6:$E$222,0)),""))</f>
        <v>DAGUA</v>
      </c>
      <c r="D115" s="102"/>
      <c r="E115" s="102"/>
      <c r="F115" s="112"/>
      <c r="G115" s="112"/>
      <c r="H115" s="102"/>
      <c r="I115" s="102"/>
      <c r="J115" s="113">
        <f>IF(A115="","",COUNTIF('Auditoria Documental'!$A$7:$A$1000,A115))</f>
        <v>0</v>
      </c>
      <c r="K115" s="113">
        <f>IF(A115="","",COUNTIFS('Auditoria Documental'!$A$7:$A$1000,A115,'Auditoria Documental'!$K$7:$K$1000,"&lt;&gt;Não avaliado",'Auditoria Documental'!$K$7:$K$1000,"&lt;&gt;"))</f>
        <v>0</v>
      </c>
      <c r="L115" s="114">
        <f>IF(A115="","",IFERROR(SUMIFS('Auditoria Documental'!$N$7:$N$1000,'Auditoria Documental'!$A$7:$A$1000,A115)/SUMIFS('Auditoria Documental'!$M$7:$M$1000,'Auditoria Documental'!$A$7:$A$1000,A115),0))</f>
        <v>0</v>
      </c>
      <c r="M115" s="113">
        <f>IF(A115="","",COUNTIFS('Auditoria Documental'!$A$7:$A$1000,A115,'Auditoria Documental'!$J$7:$J$1000,3,'Auditoria Documental'!$K$7:$K$1000,"Não conforme"))</f>
        <v>0</v>
      </c>
      <c r="N115" s="114">
        <f>IF(A115="","",IFERROR(COUNTIFS('Auditoria Documental'!$A$7:$A$1000,A115,'Auditoria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15" s="102"/>
    </row>
    <row r="116" ht="14.25" customHeight="1">
      <c r="A116" s="106" t="s">
        <v>2660</v>
      </c>
      <c r="B116" s="39" t="s">
        <v>1165</v>
      </c>
      <c r="C116" s="102" t="str">
        <f t="array" ref="C116">IF(B116="","",IFERROR(INDEX('Cadastro Unidades'!$A$6:$A$222,MATCH(B116,'Cadastro Unidades'!$E$6:$E$222,0)),""))</f>
        <v>DAGUA</v>
      </c>
      <c r="D116" s="102"/>
      <c r="E116" s="102"/>
      <c r="F116" s="112"/>
      <c r="G116" s="112"/>
      <c r="H116" s="102"/>
      <c r="I116" s="102"/>
      <c r="J116" s="113">
        <f>IF(A116="","",COUNTIF('Auditoria Documental'!$A$7:$A$1000,A116))</f>
        <v>0</v>
      </c>
      <c r="K116" s="113">
        <f>IF(A116="","",COUNTIFS('Auditoria Documental'!$A$7:$A$1000,A116,'Auditoria Documental'!$K$7:$K$1000,"&lt;&gt;Não avaliado",'Auditoria Documental'!$K$7:$K$1000,"&lt;&gt;"))</f>
        <v>0</v>
      </c>
      <c r="L116" s="114">
        <f>IF(A116="","",IFERROR(SUMIFS('Auditoria Documental'!$N$7:$N$1000,'Auditoria Documental'!$A$7:$A$1000,A116)/SUMIFS('Auditoria Documental'!$M$7:$M$1000,'Auditoria Documental'!$A$7:$A$1000,A116),0))</f>
        <v>0</v>
      </c>
      <c r="M116" s="113">
        <f>IF(A116="","",COUNTIFS('Auditoria Documental'!$A$7:$A$1000,A116,'Auditoria Documental'!$J$7:$J$1000,3,'Auditoria Documental'!$K$7:$K$1000,"Não conforme"))</f>
        <v>0</v>
      </c>
      <c r="N116" s="114">
        <f>IF(A116="","",IFERROR(COUNTIFS('Auditoria Documental'!$A$7:$A$1000,A116,'Auditoria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16" s="102"/>
    </row>
    <row r="117" ht="14.25" customHeight="1">
      <c r="A117" s="106" t="s">
        <v>2661</v>
      </c>
      <c r="B117" s="39" t="s">
        <v>1177</v>
      </c>
      <c r="C117" s="102" t="str">
        <f t="array" ref="C117">IF(B117="","",IFERROR(INDEX('Cadastro Unidades'!$A$6:$A$222,MATCH(B117,'Cadastro Unidades'!$E$6:$E$222,0)),""))</f>
        <v>DAGUA</v>
      </c>
      <c r="D117" s="102"/>
      <c r="E117" s="102"/>
      <c r="F117" s="112"/>
      <c r="G117" s="112"/>
      <c r="H117" s="102"/>
      <c r="I117" s="102"/>
      <c r="J117" s="113">
        <f>IF(A117="","",COUNTIF('Auditoria Documental'!$A$7:$A$1000,A117))</f>
        <v>0</v>
      </c>
      <c r="K117" s="113">
        <f>IF(A117="","",COUNTIFS('Auditoria Documental'!$A$7:$A$1000,A117,'Auditoria Documental'!$K$7:$K$1000,"&lt;&gt;Não avaliado",'Auditoria Documental'!$K$7:$K$1000,"&lt;&gt;"))</f>
        <v>0</v>
      </c>
      <c r="L117" s="114">
        <f>IF(A117="","",IFERROR(SUMIFS('Auditoria Documental'!$N$7:$N$1000,'Auditoria Documental'!$A$7:$A$1000,A117)/SUMIFS('Auditoria Documental'!$M$7:$M$1000,'Auditoria Documental'!$A$7:$A$1000,A117),0))</f>
        <v>0</v>
      </c>
      <c r="M117" s="113">
        <f>IF(A117="","",COUNTIFS('Auditoria Documental'!$A$7:$A$1000,A117,'Auditoria Documental'!$J$7:$J$1000,3,'Auditoria Documental'!$K$7:$K$1000,"Não conforme"))</f>
        <v>0</v>
      </c>
      <c r="N117" s="114">
        <f>IF(A117="","",IFERROR(COUNTIFS('Auditoria Documental'!$A$7:$A$1000,A117,'Auditoria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17" s="102"/>
    </row>
    <row r="118" ht="14.25" customHeight="1">
      <c r="A118" s="106" t="s">
        <v>2662</v>
      </c>
      <c r="B118" s="39" t="s">
        <v>1182</v>
      </c>
      <c r="C118" s="102" t="str">
        <f t="array" ref="C118">IF(B118="","",IFERROR(INDEX('Cadastro Unidades'!$A$6:$A$222,MATCH(B118,'Cadastro Unidades'!$E$6:$E$222,0)),""))</f>
        <v>DAGUA</v>
      </c>
      <c r="D118" s="102"/>
      <c r="E118" s="102"/>
      <c r="F118" s="112"/>
      <c r="G118" s="112"/>
      <c r="H118" s="102"/>
      <c r="I118" s="102"/>
      <c r="J118" s="113">
        <f>IF(A118="","",COUNTIF('Auditoria Documental'!$A$7:$A$1000,A118))</f>
        <v>0</v>
      </c>
      <c r="K118" s="113">
        <f>IF(A118="","",COUNTIFS('Auditoria Documental'!$A$7:$A$1000,A118,'Auditoria Documental'!$K$7:$K$1000,"&lt;&gt;Não avaliado",'Auditoria Documental'!$K$7:$K$1000,"&lt;&gt;"))</f>
        <v>0</v>
      </c>
      <c r="L118" s="114">
        <f>IF(A118="","",IFERROR(SUMIFS('Auditoria Documental'!$N$7:$N$1000,'Auditoria Documental'!$A$7:$A$1000,A118)/SUMIFS('Auditoria Documental'!$M$7:$M$1000,'Auditoria Documental'!$A$7:$A$1000,A118),0))</f>
        <v>0</v>
      </c>
      <c r="M118" s="113">
        <f>IF(A118="","",COUNTIFS('Auditoria Documental'!$A$7:$A$1000,A118,'Auditoria Documental'!$J$7:$J$1000,3,'Auditoria Documental'!$K$7:$K$1000,"Não conforme"))</f>
        <v>0</v>
      </c>
      <c r="N118" s="114">
        <f>IF(A118="","",IFERROR(COUNTIFS('Auditoria Documental'!$A$7:$A$1000,A118,'Auditoria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18" s="102"/>
    </row>
    <row r="119" ht="14.25" customHeight="1">
      <c r="A119" s="106" t="s">
        <v>2663</v>
      </c>
      <c r="B119" s="39" t="s">
        <v>1189</v>
      </c>
      <c r="C119" s="102" t="str">
        <f t="array" ref="C119">IF(B119="","",IFERROR(INDEX('Cadastro Unidades'!$A$6:$A$222,MATCH(B119,'Cadastro Unidades'!$E$6:$E$222,0)),""))</f>
        <v>DAGUA</v>
      </c>
      <c r="D119" s="102"/>
      <c r="E119" s="102"/>
      <c r="F119" s="112"/>
      <c r="G119" s="112"/>
      <c r="H119" s="102"/>
      <c r="I119" s="102"/>
      <c r="J119" s="113">
        <f>IF(A119="","",COUNTIF('Auditoria Documental'!$A$7:$A$1000,A119))</f>
        <v>0</v>
      </c>
      <c r="K119" s="113">
        <f>IF(A119="","",COUNTIFS('Auditoria Documental'!$A$7:$A$1000,A119,'Auditoria Documental'!$K$7:$K$1000,"&lt;&gt;Não avaliado",'Auditoria Documental'!$K$7:$K$1000,"&lt;&gt;"))</f>
        <v>0</v>
      </c>
      <c r="L119" s="114">
        <f>IF(A119="","",IFERROR(SUMIFS('Auditoria Documental'!$N$7:$N$1000,'Auditoria Documental'!$A$7:$A$1000,A119)/SUMIFS('Auditoria Documental'!$M$7:$M$1000,'Auditoria Documental'!$A$7:$A$1000,A119),0))</f>
        <v>0</v>
      </c>
      <c r="M119" s="113">
        <f>IF(A119="","",COUNTIFS('Auditoria Documental'!$A$7:$A$1000,A119,'Auditoria Documental'!$J$7:$J$1000,3,'Auditoria Documental'!$K$7:$K$1000,"Não conforme"))</f>
        <v>0</v>
      </c>
      <c r="N119" s="114">
        <f>IF(A119="","",IFERROR(COUNTIFS('Auditoria Documental'!$A$7:$A$1000,A119,'Auditoria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19" s="102"/>
    </row>
    <row r="120" ht="14.25" customHeight="1">
      <c r="A120" s="106" t="s">
        <v>2664</v>
      </c>
      <c r="B120" s="39" t="s">
        <v>1200</v>
      </c>
      <c r="C120" s="102" t="str">
        <f t="array" ref="C120">IF(B120="","",IFERROR(INDEX('Cadastro Unidades'!$A$6:$A$222,MATCH(B120,'Cadastro Unidades'!$E$6:$E$222,0)),""))</f>
        <v>DAGUA</v>
      </c>
      <c r="D120" s="102"/>
      <c r="E120" s="102"/>
      <c r="F120" s="112"/>
      <c r="G120" s="112"/>
      <c r="H120" s="102"/>
      <c r="I120" s="102"/>
      <c r="J120" s="113">
        <f>IF(A120="","",COUNTIF('Auditoria Documental'!$A$7:$A$1000,A120))</f>
        <v>0</v>
      </c>
      <c r="K120" s="113">
        <f>IF(A120="","",COUNTIFS('Auditoria Documental'!$A$7:$A$1000,A120,'Auditoria Documental'!$K$7:$K$1000,"&lt;&gt;Não avaliado",'Auditoria Documental'!$K$7:$K$1000,"&lt;&gt;"))</f>
        <v>0</v>
      </c>
      <c r="L120" s="114">
        <f>IF(A120="","",IFERROR(SUMIFS('Auditoria Documental'!$N$7:$N$1000,'Auditoria Documental'!$A$7:$A$1000,A120)/SUMIFS('Auditoria Documental'!$M$7:$M$1000,'Auditoria Documental'!$A$7:$A$1000,A120),0))</f>
        <v>0</v>
      </c>
      <c r="M120" s="113">
        <f>IF(A120="","",COUNTIFS('Auditoria Documental'!$A$7:$A$1000,A120,'Auditoria Documental'!$J$7:$J$1000,3,'Auditoria Documental'!$K$7:$K$1000,"Não conforme"))</f>
        <v>0</v>
      </c>
      <c r="N120" s="114">
        <f>IF(A120="","",IFERROR(COUNTIFS('Auditoria Documental'!$A$7:$A$1000,A120,'Auditoria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20" s="102"/>
    </row>
    <row r="121" ht="14.25" customHeight="1">
      <c r="A121" s="106" t="s">
        <v>2665</v>
      </c>
      <c r="B121" s="39" t="s">
        <v>1212</v>
      </c>
      <c r="C121" s="102" t="str">
        <f t="array" ref="C121">IF(B121="","",IFERROR(INDEX('Cadastro Unidades'!$A$6:$A$222,MATCH(B121,'Cadastro Unidades'!$E$6:$E$222,0)),""))</f>
        <v>DAGUA</v>
      </c>
      <c r="D121" s="102"/>
      <c r="E121" s="102"/>
      <c r="F121" s="112"/>
      <c r="G121" s="112"/>
      <c r="H121" s="102"/>
      <c r="I121" s="102"/>
      <c r="J121" s="113">
        <f>IF(A121="","",COUNTIF('Auditoria Documental'!$A$7:$A$1000,A121))</f>
        <v>0</v>
      </c>
      <c r="K121" s="113">
        <f>IF(A121="","",COUNTIFS('Auditoria Documental'!$A$7:$A$1000,A121,'Auditoria Documental'!$K$7:$K$1000,"&lt;&gt;Não avaliado",'Auditoria Documental'!$K$7:$K$1000,"&lt;&gt;"))</f>
        <v>0</v>
      </c>
      <c r="L121" s="114">
        <f>IF(A121="","",IFERROR(SUMIFS('Auditoria Documental'!$N$7:$N$1000,'Auditoria Documental'!$A$7:$A$1000,A121)/SUMIFS('Auditoria Documental'!$M$7:$M$1000,'Auditoria Documental'!$A$7:$A$1000,A121),0))</f>
        <v>0</v>
      </c>
      <c r="M121" s="113">
        <f>IF(A121="","",COUNTIFS('Auditoria Documental'!$A$7:$A$1000,A121,'Auditoria Documental'!$J$7:$J$1000,3,'Auditoria Documental'!$K$7:$K$1000,"Não conforme"))</f>
        <v>0</v>
      </c>
      <c r="N121" s="114">
        <f>IF(A121="","",IFERROR(COUNTIFS('Auditoria Documental'!$A$7:$A$1000,A121,'Auditoria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21" s="102"/>
    </row>
    <row r="122" ht="14.25" customHeight="1">
      <c r="A122" s="106" t="s">
        <v>2666</v>
      </c>
      <c r="B122" s="39" t="s">
        <v>1219</v>
      </c>
      <c r="C122" s="102" t="str">
        <f t="array" ref="C122">IF(B122="","",IFERROR(INDEX('Cadastro Unidades'!$A$6:$A$222,MATCH(B122,'Cadastro Unidades'!$E$6:$E$222,0)),""))</f>
        <v>DAGUA</v>
      </c>
      <c r="D122" s="102"/>
      <c r="E122" s="102"/>
      <c r="F122" s="112"/>
      <c r="G122" s="112"/>
      <c r="H122" s="102"/>
      <c r="I122" s="102"/>
      <c r="J122" s="113">
        <f>IF(A122="","",COUNTIF('Auditoria Documental'!$A$7:$A$1000,A122))</f>
        <v>0</v>
      </c>
      <c r="K122" s="113">
        <f>IF(A122="","",COUNTIFS('Auditoria Documental'!$A$7:$A$1000,A122,'Auditoria Documental'!$K$7:$K$1000,"&lt;&gt;Não avaliado",'Auditoria Documental'!$K$7:$K$1000,"&lt;&gt;"))</f>
        <v>0</v>
      </c>
      <c r="L122" s="114">
        <f>IF(A122="","",IFERROR(SUMIFS('Auditoria Documental'!$N$7:$N$1000,'Auditoria Documental'!$A$7:$A$1000,A122)/SUMIFS('Auditoria Documental'!$M$7:$M$1000,'Auditoria Documental'!$A$7:$A$1000,A122),0))</f>
        <v>0</v>
      </c>
      <c r="M122" s="113">
        <f>IF(A122="","",COUNTIFS('Auditoria Documental'!$A$7:$A$1000,A122,'Auditoria Documental'!$J$7:$J$1000,3,'Auditoria Documental'!$K$7:$K$1000,"Não conforme"))</f>
        <v>0</v>
      </c>
      <c r="N122" s="114">
        <f>IF(A122="","",IFERROR(COUNTIFS('Auditoria Documental'!$A$7:$A$1000,A122,'Auditoria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22" s="102"/>
    </row>
    <row r="123" ht="14.25" customHeight="1">
      <c r="A123" s="106" t="s">
        <v>2667</v>
      </c>
      <c r="B123" s="39" t="s">
        <v>1228</v>
      </c>
      <c r="C123" s="102" t="str">
        <f t="array" ref="C123">IF(B123="","",IFERROR(INDEX('Cadastro Unidades'!$A$6:$A$222,MATCH(B123,'Cadastro Unidades'!$E$6:$E$222,0)),""))</f>
        <v>DAGUA</v>
      </c>
      <c r="D123" s="102"/>
      <c r="E123" s="102"/>
      <c r="F123" s="112"/>
      <c r="G123" s="112"/>
      <c r="H123" s="102"/>
      <c r="I123" s="102"/>
      <c r="J123" s="113">
        <f>IF(A123="","",COUNTIF('Auditoria Documental'!$A$7:$A$1000,A123))</f>
        <v>0</v>
      </c>
      <c r="K123" s="113">
        <f>IF(A123="","",COUNTIFS('Auditoria Documental'!$A$7:$A$1000,A123,'Auditoria Documental'!$K$7:$K$1000,"&lt;&gt;Não avaliado",'Auditoria Documental'!$K$7:$K$1000,"&lt;&gt;"))</f>
        <v>0</v>
      </c>
      <c r="L123" s="114">
        <f>IF(A123="","",IFERROR(SUMIFS('Auditoria Documental'!$N$7:$N$1000,'Auditoria Documental'!$A$7:$A$1000,A123)/SUMIFS('Auditoria Documental'!$M$7:$M$1000,'Auditoria Documental'!$A$7:$A$1000,A123),0))</f>
        <v>0</v>
      </c>
      <c r="M123" s="113">
        <f>IF(A123="","",COUNTIFS('Auditoria Documental'!$A$7:$A$1000,A123,'Auditoria Documental'!$J$7:$J$1000,3,'Auditoria Documental'!$K$7:$K$1000,"Não conforme"))</f>
        <v>0</v>
      </c>
      <c r="N123" s="114">
        <f>IF(A123="","",IFERROR(COUNTIFS('Auditoria Documental'!$A$7:$A$1000,A123,'Auditoria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23" s="102"/>
    </row>
    <row r="124" ht="14.25" customHeight="1">
      <c r="A124" s="106" t="s">
        <v>2668</v>
      </c>
      <c r="B124" s="39" t="s">
        <v>1240</v>
      </c>
      <c r="C124" s="102" t="str">
        <f t="array" ref="C124">IF(B124="","",IFERROR(INDEX('Cadastro Unidades'!$A$6:$A$222,MATCH(B124,'Cadastro Unidades'!$E$6:$E$222,0)),""))</f>
        <v>DAGUA</v>
      </c>
      <c r="D124" s="102"/>
      <c r="E124" s="102"/>
      <c r="F124" s="112"/>
      <c r="G124" s="112"/>
      <c r="H124" s="102"/>
      <c r="I124" s="102"/>
      <c r="J124" s="113">
        <f>IF(A124="","",COUNTIF('Auditoria Documental'!$A$7:$A$1000,A124))</f>
        <v>0</v>
      </c>
      <c r="K124" s="113">
        <f>IF(A124="","",COUNTIFS('Auditoria Documental'!$A$7:$A$1000,A124,'Auditoria Documental'!$K$7:$K$1000,"&lt;&gt;Não avaliado",'Auditoria Documental'!$K$7:$K$1000,"&lt;&gt;"))</f>
        <v>0</v>
      </c>
      <c r="L124" s="114">
        <f>IF(A124="","",IFERROR(SUMIFS('Auditoria Documental'!$N$7:$N$1000,'Auditoria Documental'!$A$7:$A$1000,A124)/SUMIFS('Auditoria Documental'!$M$7:$M$1000,'Auditoria Documental'!$A$7:$A$1000,A124),0))</f>
        <v>0</v>
      </c>
      <c r="M124" s="113">
        <f>IF(A124="","",COUNTIFS('Auditoria Documental'!$A$7:$A$1000,A124,'Auditoria Documental'!$J$7:$J$1000,3,'Auditoria Documental'!$K$7:$K$1000,"Não conforme"))</f>
        <v>0</v>
      </c>
      <c r="N124" s="114">
        <f>IF(A124="","",IFERROR(COUNTIFS('Auditoria Documental'!$A$7:$A$1000,A124,'Auditoria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24" s="102"/>
    </row>
    <row r="125" ht="14.25" customHeight="1">
      <c r="A125" s="106" t="s">
        <v>2669</v>
      </c>
      <c r="B125" s="39" t="s">
        <v>1252</v>
      </c>
      <c r="C125" s="102" t="str">
        <f t="array" ref="C125">IF(B125="","",IFERROR(INDEX('Cadastro Unidades'!$A$6:$A$222,MATCH(B125,'Cadastro Unidades'!$E$6:$E$222,0)),""))</f>
        <v>DAGUA</v>
      </c>
      <c r="D125" s="102"/>
      <c r="E125" s="102"/>
      <c r="F125" s="112"/>
      <c r="G125" s="112"/>
      <c r="H125" s="102"/>
      <c r="I125" s="102"/>
      <c r="J125" s="113">
        <f>IF(A125="","",COUNTIF('Auditoria Documental'!$A$7:$A$1000,A125))</f>
        <v>0</v>
      </c>
      <c r="K125" s="113">
        <f>IF(A125="","",COUNTIFS('Auditoria Documental'!$A$7:$A$1000,A125,'Auditoria Documental'!$K$7:$K$1000,"&lt;&gt;Não avaliado",'Auditoria Documental'!$K$7:$K$1000,"&lt;&gt;"))</f>
        <v>0</v>
      </c>
      <c r="L125" s="114">
        <f>IF(A125="","",IFERROR(SUMIFS('Auditoria Documental'!$N$7:$N$1000,'Auditoria Documental'!$A$7:$A$1000,A125)/SUMIFS('Auditoria Documental'!$M$7:$M$1000,'Auditoria Documental'!$A$7:$A$1000,A125),0))</f>
        <v>0</v>
      </c>
      <c r="M125" s="113">
        <f>IF(A125="","",COUNTIFS('Auditoria Documental'!$A$7:$A$1000,A125,'Auditoria Documental'!$J$7:$J$1000,3,'Auditoria Documental'!$K$7:$K$1000,"Não conforme"))</f>
        <v>0</v>
      </c>
      <c r="N125" s="114">
        <f>IF(A125="","",IFERROR(COUNTIFS('Auditoria Documental'!$A$7:$A$1000,A125,'Auditoria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25" s="102"/>
    </row>
    <row r="126" ht="14.25" customHeight="1">
      <c r="A126" s="106" t="s">
        <v>2670</v>
      </c>
      <c r="B126" s="39" t="s">
        <v>1262</v>
      </c>
      <c r="C126" s="102" t="str">
        <f t="array" ref="C126">IF(B126="","",IFERROR(INDEX('Cadastro Unidades'!$A$6:$A$222,MATCH(B126,'Cadastro Unidades'!$E$6:$E$222,0)),""))</f>
        <v>DAGUA</v>
      </c>
      <c r="D126" s="102"/>
      <c r="E126" s="102"/>
      <c r="F126" s="112"/>
      <c r="G126" s="112"/>
      <c r="H126" s="102"/>
      <c r="I126" s="102"/>
      <c r="J126" s="113">
        <f>IF(A126="","",COUNTIF('Auditoria Documental'!$A$7:$A$1000,A126))</f>
        <v>0</v>
      </c>
      <c r="K126" s="113">
        <f>IF(A126="","",COUNTIFS('Auditoria Documental'!$A$7:$A$1000,A126,'Auditoria Documental'!$K$7:$K$1000,"&lt;&gt;Não avaliado",'Auditoria Documental'!$K$7:$K$1000,"&lt;&gt;"))</f>
        <v>0</v>
      </c>
      <c r="L126" s="114">
        <f>IF(A126="","",IFERROR(SUMIFS('Auditoria Documental'!$N$7:$N$1000,'Auditoria Documental'!$A$7:$A$1000,A126)/SUMIFS('Auditoria Documental'!$M$7:$M$1000,'Auditoria Documental'!$A$7:$A$1000,A126),0))</f>
        <v>0</v>
      </c>
      <c r="M126" s="113">
        <f>IF(A126="","",COUNTIFS('Auditoria Documental'!$A$7:$A$1000,A126,'Auditoria Documental'!$J$7:$J$1000,3,'Auditoria Documental'!$K$7:$K$1000,"Não conforme"))</f>
        <v>0</v>
      </c>
      <c r="N126" s="114">
        <f>IF(A126="","",IFERROR(COUNTIFS('Auditoria Documental'!$A$7:$A$1000,A126,'Auditoria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26" s="102"/>
    </row>
    <row r="127" ht="14.25" customHeight="1">
      <c r="A127" s="106" t="s">
        <v>2671</v>
      </c>
      <c r="B127" s="39" t="s">
        <v>1275</v>
      </c>
      <c r="C127" s="102" t="str">
        <f t="array" ref="C127">IF(B127="","",IFERROR(INDEX('Cadastro Unidades'!$A$6:$A$222,MATCH(B127,'Cadastro Unidades'!$E$6:$E$222,0)),""))</f>
        <v>DAGUA</v>
      </c>
      <c r="D127" s="102"/>
      <c r="E127" s="102"/>
      <c r="F127" s="112"/>
      <c r="G127" s="112"/>
      <c r="H127" s="102"/>
      <c r="I127" s="102"/>
      <c r="J127" s="113">
        <f>IF(A127="","",COUNTIF('Auditoria Documental'!$A$7:$A$1000,A127))</f>
        <v>0</v>
      </c>
      <c r="K127" s="113">
        <f>IF(A127="","",COUNTIFS('Auditoria Documental'!$A$7:$A$1000,A127,'Auditoria Documental'!$K$7:$K$1000,"&lt;&gt;Não avaliado",'Auditoria Documental'!$K$7:$K$1000,"&lt;&gt;"))</f>
        <v>0</v>
      </c>
      <c r="L127" s="114">
        <f>IF(A127="","",IFERROR(SUMIFS('Auditoria Documental'!$N$7:$N$1000,'Auditoria Documental'!$A$7:$A$1000,A127)/SUMIFS('Auditoria Documental'!$M$7:$M$1000,'Auditoria Documental'!$A$7:$A$1000,A127),0))</f>
        <v>0</v>
      </c>
      <c r="M127" s="113">
        <f>IF(A127="","",COUNTIFS('Auditoria Documental'!$A$7:$A$1000,A127,'Auditoria Documental'!$J$7:$J$1000,3,'Auditoria Documental'!$K$7:$K$1000,"Não conforme"))</f>
        <v>0</v>
      </c>
      <c r="N127" s="114">
        <f>IF(A127="","",IFERROR(COUNTIFS('Auditoria Documental'!$A$7:$A$1000,A127,'Auditoria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27" s="102"/>
    </row>
    <row r="128" ht="14.25" customHeight="1">
      <c r="A128" s="106" t="s">
        <v>2672</v>
      </c>
      <c r="B128" s="39" t="s">
        <v>1283</v>
      </c>
      <c r="C128" s="102" t="str">
        <f t="array" ref="C128">IF(B128="","",IFERROR(INDEX('Cadastro Unidades'!$A$6:$A$222,MATCH(B128,'Cadastro Unidades'!$E$6:$E$222,0)),""))</f>
        <v>DAGUA</v>
      </c>
      <c r="D128" s="102"/>
      <c r="E128" s="102"/>
      <c r="F128" s="112"/>
      <c r="G128" s="112"/>
      <c r="H128" s="102"/>
      <c r="I128" s="102"/>
      <c r="J128" s="113">
        <f>IF(A128="","",COUNTIF('Auditoria Documental'!$A$7:$A$1000,A128))</f>
        <v>0</v>
      </c>
      <c r="K128" s="113">
        <f>IF(A128="","",COUNTIFS('Auditoria Documental'!$A$7:$A$1000,A128,'Auditoria Documental'!$K$7:$K$1000,"&lt;&gt;Não avaliado",'Auditoria Documental'!$K$7:$K$1000,"&lt;&gt;"))</f>
        <v>0</v>
      </c>
      <c r="L128" s="114">
        <f>IF(A128="","",IFERROR(SUMIFS('Auditoria Documental'!$N$7:$N$1000,'Auditoria Documental'!$A$7:$A$1000,A128)/SUMIFS('Auditoria Documental'!$M$7:$M$1000,'Auditoria Documental'!$A$7:$A$1000,A128),0))</f>
        <v>0</v>
      </c>
      <c r="M128" s="113">
        <f>IF(A128="","",COUNTIFS('Auditoria Documental'!$A$7:$A$1000,A128,'Auditoria Documental'!$J$7:$J$1000,3,'Auditoria Documental'!$K$7:$K$1000,"Não conforme"))</f>
        <v>0</v>
      </c>
      <c r="N128" s="114">
        <f>IF(A128="","",IFERROR(COUNTIFS('Auditoria Documental'!$A$7:$A$1000,A128,'Auditoria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28" s="102"/>
    </row>
    <row r="129" ht="14.25" customHeight="1">
      <c r="A129" s="106" t="s">
        <v>2673</v>
      </c>
      <c r="B129" s="39" t="s">
        <v>1289</v>
      </c>
      <c r="C129" s="102" t="str">
        <f t="array" ref="C129">IF(B129="","",IFERROR(INDEX('Cadastro Unidades'!$A$6:$A$222,MATCH(B129,'Cadastro Unidades'!$E$6:$E$222,0)),""))</f>
        <v>DAICO</v>
      </c>
      <c r="D129" s="102"/>
      <c r="E129" s="102"/>
      <c r="F129" s="112"/>
      <c r="G129" s="112"/>
      <c r="H129" s="102"/>
      <c r="I129" s="102"/>
      <c r="J129" s="113">
        <f>IF(A129="","",COUNTIF('Auditoria Documental'!$A$7:$A$1000,A129))</f>
        <v>0</v>
      </c>
      <c r="K129" s="113">
        <f>IF(A129="","",COUNTIFS('Auditoria Documental'!$A$7:$A$1000,A129,'Auditoria Documental'!$K$7:$K$1000,"&lt;&gt;Não avaliado",'Auditoria Documental'!$K$7:$K$1000,"&lt;&gt;"))</f>
        <v>0</v>
      </c>
      <c r="L129" s="114">
        <f>IF(A129="","",IFERROR(SUMIFS('Auditoria Documental'!$N$7:$N$1000,'Auditoria Documental'!$A$7:$A$1000,A129)/SUMIFS('Auditoria Documental'!$M$7:$M$1000,'Auditoria Documental'!$A$7:$A$1000,A129),0))</f>
        <v>0</v>
      </c>
      <c r="M129" s="113">
        <f>IF(A129="","",COUNTIFS('Auditoria Documental'!$A$7:$A$1000,A129,'Auditoria Documental'!$J$7:$J$1000,3,'Auditoria Documental'!$K$7:$K$1000,"Não conforme"))</f>
        <v>0</v>
      </c>
      <c r="N129" s="114">
        <f>IF(A129="","",IFERROR(COUNTIFS('Auditoria Documental'!$A$7:$A$1000,A129,'Auditoria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29" s="102"/>
    </row>
    <row r="130" ht="14.25" customHeight="1">
      <c r="A130" s="106" t="s">
        <v>2674</v>
      </c>
      <c r="B130" s="39" t="s">
        <v>1302</v>
      </c>
      <c r="C130" s="102" t="str">
        <f t="array" ref="C130">IF(B130="","",IFERROR(INDEX('Cadastro Unidades'!$A$6:$A$222,MATCH(B130,'Cadastro Unidades'!$E$6:$E$222,0)),""))</f>
        <v>DAICO</v>
      </c>
      <c r="D130" s="102"/>
      <c r="E130" s="102"/>
      <c r="F130" s="112"/>
      <c r="G130" s="112"/>
      <c r="H130" s="102"/>
      <c r="I130" s="102"/>
      <c r="J130" s="113">
        <f>IF(A130="","",COUNTIF('Auditoria Documental'!$A$7:$A$1000,A130))</f>
        <v>0</v>
      </c>
      <c r="K130" s="113">
        <f>IF(A130="","",COUNTIFS('Auditoria Documental'!$A$7:$A$1000,A130,'Auditoria Documental'!$K$7:$K$1000,"&lt;&gt;Não avaliado",'Auditoria Documental'!$K$7:$K$1000,"&lt;&gt;"))</f>
        <v>0</v>
      </c>
      <c r="L130" s="114">
        <f>IF(A130="","",IFERROR(SUMIFS('Auditoria Documental'!$N$7:$N$1000,'Auditoria Documental'!$A$7:$A$1000,A130)/SUMIFS('Auditoria Documental'!$M$7:$M$1000,'Auditoria Documental'!$A$7:$A$1000,A130),0))</f>
        <v>0</v>
      </c>
      <c r="M130" s="113">
        <f>IF(A130="","",COUNTIFS('Auditoria Documental'!$A$7:$A$1000,A130,'Auditoria Documental'!$J$7:$J$1000,3,'Auditoria Documental'!$K$7:$K$1000,"Não conforme"))</f>
        <v>0</v>
      </c>
      <c r="N130" s="114">
        <f>IF(A130="","",IFERROR(COUNTIFS('Auditoria Documental'!$A$7:$A$1000,A130,'Auditoria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30" s="102"/>
    </row>
    <row r="131" ht="14.25" customHeight="1">
      <c r="A131" s="106" t="s">
        <v>2675</v>
      </c>
      <c r="B131" s="39" t="s">
        <v>1315</v>
      </c>
      <c r="C131" s="102" t="str">
        <f t="array" ref="C131">IF(B131="","",IFERROR(INDEX('Cadastro Unidades'!$A$6:$A$222,MATCH(B131,'Cadastro Unidades'!$E$6:$E$222,0)),""))</f>
        <v>DAICO</v>
      </c>
      <c r="D131" s="102"/>
      <c r="E131" s="102"/>
      <c r="F131" s="112"/>
      <c r="G131" s="112"/>
      <c r="H131" s="102"/>
      <c r="I131" s="102"/>
      <c r="J131" s="113">
        <f>IF(A131="","",COUNTIF('Auditoria Documental'!$A$7:$A$1000,A131))</f>
        <v>0</v>
      </c>
      <c r="K131" s="113">
        <f>IF(A131="","",COUNTIFS('Auditoria Documental'!$A$7:$A$1000,A131,'Auditoria Documental'!$K$7:$K$1000,"&lt;&gt;Não avaliado",'Auditoria Documental'!$K$7:$K$1000,"&lt;&gt;"))</f>
        <v>0</v>
      </c>
      <c r="L131" s="114">
        <f>IF(A131="","",IFERROR(SUMIFS('Auditoria Documental'!$N$7:$N$1000,'Auditoria Documental'!$A$7:$A$1000,A131)/SUMIFS('Auditoria Documental'!$M$7:$M$1000,'Auditoria Documental'!$A$7:$A$1000,A131),0))</f>
        <v>0</v>
      </c>
      <c r="M131" s="113">
        <f>IF(A131="","",COUNTIFS('Auditoria Documental'!$A$7:$A$1000,A131,'Auditoria Documental'!$J$7:$J$1000,3,'Auditoria Documental'!$K$7:$K$1000,"Não conforme"))</f>
        <v>0</v>
      </c>
      <c r="N131" s="114">
        <f>IF(A131="","",IFERROR(COUNTIFS('Auditoria Documental'!$A$7:$A$1000,A131,'Auditoria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31" s="102"/>
    </row>
    <row r="132" ht="14.25" customHeight="1">
      <c r="A132" s="106" t="s">
        <v>2676</v>
      </c>
      <c r="B132" s="39" t="s">
        <v>1326</v>
      </c>
      <c r="C132" s="102" t="str">
        <f t="array" ref="C132">IF(B132="","",IFERROR(INDEX('Cadastro Unidades'!$A$6:$A$222,MATCH(B132,'Cadastro Unidades'!$E$6:$E$222,0)),""))</f>
        <v>DAICO</v>
      </c>
      <c r="D132" s="102"/>
      <c r="E132" s="102"/>
      <c r="F132" s="112"/>
      <c r="G132" s="112"/>
      <c r="H132" s="102"/>
      <c r="I132" s="102"/>
      <c r="J132" s="113">
        <f>IF(A132="","",COUNTIF('Auditoria Documental'!$A$7:$A$1000,A132))</f>
        <v>0</v>
      </c>
      <c r="K132" s="113">
        <f>IF(A132="","",COUNTIFS('Auditoria Documental'!$A$7:$A$1000,A132,'Auditoria Documental'!$K$7:$K$1000,"&lt;&gt;Não avaliado",'Auditoria Documental'!$K$7:$K$1000,"&lt;&gt;"))</f>
        <v>0</v>
      </c>
      <c r="L132" s="114">
        <f>IF(A132="","",IFERROR(SUMIFS('Auditoria Documental'!$N$7:$N$1000,'Auditoria Documental'!$A$7:$A$1000,A132)/SUMIFS('Auditoria Documental'!$M$7:$M$1000,'Auditoria Documental'!$A$7:$A$1000,A132),0))</f>
        <v>0</v>
      </c>
      <c r="M132" s="113">
        <f>IF(A132="","",COUNTIFS('Auditoria Documental'!$A$7:$A$1000,A132,'Auditoria Documental'!$J$7:$J$1000,3,'Auditoria Documental'!$K$7:$K$1000,"Não conforme"))</f>
        <v>0</v>
      </c>
      <c r="N132" s="114">
        <f>IF(A132="","",IFERROR(COUNTIFS('Auditoria Documental'!$A$7:$A$1000,A132,'Auditoria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32" s="102"/>
    </row>
    <row r="133" ht="14.25" customHeight="1">
      <c r="A133" s="106" t="s">
        <v>2677</v>
      </c>
      <c r="B133" s="39" t="s">
        <v>1337</v>
      </c>
      <c r="C133" s="102" t="str">
        <f t="array" ref="C133">IF(B133="","",IFERROR(INDEX('Cadastro Unidades'!$A$6:$A$222,MATCH(B133,'Cadastro Unidades'!$E$6:$E$222,0)),""))</f>
        <v>DAICO</v>
      </c>
      <c r="D133" s="102"/>
      <c r="E133" s="102"/>
      <c r="F133" s="112"/>
      <c r="G133" s="112"/>
      <c r="H133" s="102"/>
      <c r="I133" s="102"/>
      <c r="J133" s="113">
        <f>IF(A133="","",COUNTIF('Auditoria Documental'!$A$7:$A$1000,A133))</f>
        <v>0</v>
      </c>
      <c r="K133" s="113">
        <f>IF(A133="","",COUNTIFS('Auditoria Documental'!$A$7:$A$1000,A133,'Auditoria Documental'!$K$7:$K$1000,"&lt;&gt;Não avaliado",'Auditoria Documental'!$K$7:$K$1000,"&lt;&gt;"))</f>
        <v>0</v>
      </c>
      <c r="L133" s="114">
        <f>IF(A133="","",IFERROR(SUMIFS('Auditoria Documental'!$N$7:$N$1000,'Auditoria Documental'!$A$7:$A$1000,A133)/SUMIFS('Auditoria Documental'!$M$7:$M$1000,'Auditoria Documental'!$A$7:$A$1000,A133),0))</f>
        <v>0</v>
      </c>
      <c r="M133" s="113">
        <f>IF(A133="","",COUNTIFS('Auditoria Documental'!$A$7:$A$1000,A133,'Auditoria Documental'!$J$7:$J$1000,3,'Auditoria Documental'!$K$7:$K$1000,"Não conforme"))</f>
        <v>0</v>
      </c>
      <c r="N133" s="114">
        <f>IF(A133="","",IFERROR(COUNTIFS('Auditoria Documental'!$A$7:$A$1000,A133,'Auditoria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33" s="102"/>
    </row>
    <row r="134" ht="14.25" customHeight="1">
      <c r="A134" s="106" t="s">
        <v>2678</v>
      </c>
      <c r="B134" s="39" t="s">
        <v>1346</v>
      </c>
      <c r="C134" s="102" t="str">
        <f t="array" ref="C134">IF(B134="","",IFERROR(INDEX('Cadastro Unidades'!$A$6:$A$222,MATCH(B134,'Cadastro Unidades'!$E$6:$E$222,0)),""))</f>
        <v>DAICO</v>
      </c>
      <c r="D134" s="102"/>
      <c r="E134" s="102"/>
      <c r="F134" s="112"/>
      <c r="G134" s="112"/>
      <c r="H134" s="102"/>
      <c r="I134" s="102"/>
      <c r="J134" s="113">
        <f>IF(A134="","",COUNTIF('Auditoria Documental'!$A$7:$A$1000,A134))</f>
        <v>0</v>
      </c>
      <c r="K134" s="113">
        <f>IF(A134="","",COUNTIFS('Auditoria Documental'!$A$7:$A$1000,A134,'Auditoria Documental'!$K$7:$K$1000,"&lt;&gt;Não avaliado",'Auditoria Documental'!$K$7:$K$1000,"&lt;&gt;"))</f>
        <v>0</v>
      </c>
      <c r="L134" s="114">
        <f>IF(A134="","",IFERROR(SUMIFS('Auditoria Documental'!$N$7:$N$1000,'Auditoria Documental'!$A$7:$A$1000,A134)/SUMIFS('Auditoria Documental'!$M$7:$M$1000,'Auditoria Documental'!$A$7:$A$1000,A134),0))</f>
        <v>0</v>
      </c>
      <c r="M134" s="113">
        <f>IF(A134="","",COUNTIFS('Auditoria Documental'!$A$7:$A$1000,A134,'Auditoria Documental'!$J$7:$J$1000,3,'Auditoria Documental'!$K$7:$K$1000,"Não conforme"))</f>
        <v>0</v>
      </c>
      <c r="N134" s="114">
        <f>IF(A134="","",IFERROR(COUNTIFS('Auditoria Documental'!$A$7:$A$1000,A134,'Auditoria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34" s="102"/>
    </row>
    <row r="135" ht="14.25" customHeight="1">
      <c r="A135" s="106" t="s">
        <v>2679</v>
      </c>
      <c r="B135" s="39" t="s">
        <v>1353</v>
      </c>
      <c r="C135" s="102" t="str">
        <f t="array" ref="C135">IF(B135="","",IFERROR(INDEX('Cadastro Unidades'!$A$6:$A$222,MATCH(B135,'Cadastro Unidades'!$E$6:$E$222,0)),""))</f>
        <v>DAICO</v>
      </c>
      <c r="D135" s="102"/>
      <c r="E135" s="102"/>
      <c r="F135" s="112"/>
      <c r="G135" s="112"/>
      <c r="H135" s="102"/>
      <c r="I135" s="102"/>
      <c r="J135" s="113">
        <f>IF(A135="","",COUNTIF('Auditoria Documental'!$A$7:$A$1000,A135))</f>
        <v>0</v>
      </c>
      <c r="K135" s="113">
        <f>IF(A135="","",COUNTIFS('Auditoria Documental'!$A$7:$A$1000,A135,'Auditoria Documental'!$K$7:$K$1000,"&lt;&gt;Não avaliado",'Auditoria Documental'!$K$7:$K$1000,"&lt;&gt;"))</f>
        <v>0</v>
      </c>
      <c r="L135" s="114">
        <f>IF(A135="","",IFERROR(SUMIFS('Auditoria Documental'!$N$7:$N$1000,'Auditoria Documental'!$A$7:$A$1000,A135)/SUMIFS('Auditoria Documental'!$M$7:$M$1000,'Auditoria Documental'!$A$7:$A$1000,A135),0))</f>
        <v>0</v>
      </c>
      <c r="M135" s="113">
        <f>IF(A135="","",COUNTIFS('Auditoria Documental'!$A$7:$A$1000,A135,'Auditoria Documental'!$J$7:$J$1000,3,'Auditoria Documental'!$K$7:$K$1000,"Não conforme"))</f>
        <v>0</v>
      </c>
      <c r="N135" s="114">
        <f>IF(A135="","",IFERROR(COUNTIFS('Auditoria Documental'!$A$7:$A$1000,A135,'Auditoria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35" s="102"/>
    </row>
    <row r="136" ht="14.25" customHeight="1">
      <c r="A136" s="106" t="s">
        <v>2680</v>
      </c>
      <c r="B136" s="39" t="s">
        <v>1360</v>
      </c>
      <c r="C136" s="102" t="str">
        <f t="array" ref="C136">IF(B136="","",IFERROR(INDEX('Cadastro Unidades'!$A$6:$A$222,MATCH(B136,'Cadastro Unidades'!$E$6:$E$222,0)),""))</f>
        <v>DAICO</v>
      </c>
      <c r="D136" s="102"/>
      <c r="E136" s="102"/>
      <c r="F136" s="112"/>
      <c r="G136" s="112"/>
      <c r="H136" s="102"/>
      <c r="I136" s="102"/>
      <c r="J136" s="113">
        <f>IF(A136="","",COUNTIF('Auditoria Documental'!$A$7:$A$1000,A136))</f>
        <v>0</v>
      </c>
      <c r="K136" s="113">
        <f>IF(A136="","",COUNTIFS('Auditoria Documental'!$A$7:$A$1000,A136,'Auditoria Documental'!$K$7:$K$1000,"&lt;&gt;Não avaliado",'Auditoria Documental'!$K$7:$K$1000,"&lt;&gt;"))</f>
        <v>0</v>
      </c>
      <c r="L136" s="114">
        <f>IF(A136="","",IFERROR(SUMIFS('Auditoria Documental'!$N$7:$N$1000,'Auditoria Documental'!$A$7:$A$1000,A136)/SUMIFS('Auditoria Documental'!$M$7:$M$1000,'Auditoria Documental'!$A$7:$A$1000,A136),0))</f>
        <v>0</v>
      </c>
      <c r="M136" s="113">
        <f>IF(A136="","",COUNTIFS('Auditoria Documental'!$A$7:$A$1000,A136,'Auditoria Documental'!$J$7:$J$1000,3,'Auditoria Documental'!$K$7:$K$1000,"Não conforme"))</f>
        <v>0</v>
      </c>
      <c r="N136" s="114">
        <f>IF(A136="","",IFERROR(COUNTIFS('Auditoria Documental'!$A$7:$A$1000,A136,'Auditoria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36" s="102"/>
    </row>
    <row r="137" ht="14.25" customHeight="1">
      <c r="A137" s="106" t="s">
        <v>2681</v>
      </c>
      <c r="B137" s="39" t="s">
        <v>1370</v>
      </c>
      <c r="C137" s="102" t="str">
        <f t="array" ref="C137">IF(B137="","",IFERROR(INDEX('Cadastro Unidades'!$A$6:$A$222,MATCH(B137,'Cadastro Unidades'!$E$6:$E$222,0)),""))</f>
        <v>DAICO</v>
      </c>
      <c r="D137" s="102"/>
      <c r="E137" s="102"/>
      <c r="F137" s="112"/>
      <c r="G137" s="112"/>
      <c r="H137" s="102"/>
      <c r="I137" s="102"/>
      <c r="J137" s="113">
        <f>IF(A137="","",COUNTIF('Auditoria Documental'!$A$7:$A$1000,A137))</f>
        <v>0</v>
      </c>
      <c r="K137" s="113">
        <f>IF(A137="","",COUNTIFS('Auditoria Documental'!$A$7:$A$1000,A137,'Auditoria Documental'!$K$7:$K$1000,"&lt;&gt;Não avaliado",'Auditoria Documental'!$K$7:$K$1000,"&lt;&gt;"))</f>
        <v>0</v>
      </c>
      <c r="L137" s="114">
        <f>IF(A137="","",IFERROR(SUMIFS('Auditoria Documental'!$N$7:$N$1000,'Auditoria Documental'!$A$7:$A$1000,A137)/SUMIFS('Auditoria Documental'!$M$7:$M$1000,'Auditoria Documental'!$A$7:$A$1000,A137),0))</f>
        <v>0</v>
      </c>
      <c r="M137" s="113">
        <f>IF(A137="","",COUNTIFS('Auditoria Documental'!$A$7:$A$1000,A137,'Auditoria Documental'!$J$7:$J$1000,3,'Auditoria Documental'!$K$7:$K$1000,"Não conforme"))</f>
        <v>0</v>
      </c>
      <c r="N137" s="114">
        <f>IF(A137="","",IFERROR(COUNTIFS('Auditoria Documental'!$A$7:$A$1000,A137,'Auditoria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37" s="102"/>
    </row>
    <row r="138" ht="14.25" customHeight="1">
      <c r="A138" s="106" t="s">
        <v>2682</v>
      </c>
      <c r="B138" s="39" t="s">
        <v>1381</v>
      </c>
      <c r="C138" s="102" t="str">
        <f t="array" ref="C138">IF(B138="","",IFERROR(INDEX('Cadastro Unidades'!$A$6:$A$222,MATCH(B138,'Cadastro Unidades'!$E$6:$E$222,0)),""))</f>
        <v>DAICO</v>
      </c>
      <c r="D138" s="102"/>
      <c r="E138" s="102"/>
      <c r="F138" s="112"/>
      <c r="G138" s="112"/>
      <c r="H138" s="102"/>
      <c r="I138" s="102"/>
      <c r="J138" s="113">
        <f>IF(A138="","",COUNTIF('Auditoria Documental'!$A$7:$A$1000,A138))</f>
        <v>0</v>
      </c>
      <c r="K138" s="113">
        <f>IF(A138="","",COUNTIFS('Auditoria Documental'!$A$7:$A$1000,A138,'Auditoria Documental'!$K$7:$K$1000,"&lt;&gt;Não avaliado",'Auditoria Documental'!$K$7:$K$1000,"&lt;&gt;"))</f>
        <v>0</v>
      </c>
      <c r="L138" s="114">
        <f>IF(A138="","",IFERROR(SUMIFS('Auditoria Documental'!$N$7:$N$1000,'Auditoria Documental'!$A$7:$A$1000,A138)/SUMIFS('Auditoria Documental'!$M$7:$M$1000,'Auditoria Documental'!$A$7:$A$1000,A138),0))</f>
        <v>0</v>
      </c>
      <c r="M138" s="113">
        <f>IF(A138="","",COUNTIFS('Auditoria Documental'!$A$7:$A$1000,A138,'Auditoria Documental'!$J$7:$J$1000,3,'Auditoria Documental'!$K$7:$K$1000,"Não conforme"))</f>
        <v>0</v>
      </c>
      <c r="N138" s="114">
        <f>IF(A138="","",IFERROR(COUNTIFS('Auditoria Documental'!$A$7:$A$1000,A138,'Auditoria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38" s="102"/>
    </row>
    <row r="139" ht="14.25" customHeight="1">
      <c r="A139" s="106" t="s">
        <v>2683</v>
      </c>
      <c r="B139" s="39" t="s">
        <v>1389</v>
      </c>
      <c r="C139" s="102" t="str">
        <f t="array" ref="C139">IF(B139="","",IFERROR(INDEX('Cadastro Unidades'!$A$6:$A$222,MATCH(B139,'Cadastro Unidades'!$E$6:$E$222,0)),""))</f>
        <v>DAICO</v>
      </c>
      <c r="D139" s="102"/>
      <c r="E139" s="102"/>
      <c r="F139" s="112"/>
      <c r="G139" s="112"/>
      <c r="H139" s="102"/>
      <c r="I139" s="102"/>
      <c r="J139" s="113">
        <f>IF(A139="","",COUNTIF('Auditoria Documental'!$A$7:$A$1000,A139))</f>
        <v>0</v>
      </c>
      <c r="K139" s="113">
        <f>IF(A139="","",COUNTIFS('Auditoria Documental'!$A$7:$A$1000,A139,'Auditoria Documental'!$K$7:$K$1000,"&lt;&gt;Não avaliado",'Auditoria Documental'!$K$7:$K$1000,"&lt;&gt;"))</f>
        <v>0</v>
      </c>
      <c r="L139" s="114">
        <f>IF(A139="","",IFERROR(SUMIFS('Auditoria Documental'!$N$7:$N$1000,'Auditoria Documental'!$A$7:$A$1000,A139)/SUMIFS('Auditoria Documental'!$M$7:$M$1000,'Auditoria Documental'!$A$7:$A$1000,A139),0))</f>
        <v>0</v>
      </c>
      <c r="M139" s="113">
        <f>IF(A139="","",COUNTIFS('Auditoria Documental'!$A$7:$A$1000,A139,'Auditoria Documental'!$J$7:$J$1000,3,'Auditoria Documental'!$K$7:$K$1000,"Não conforme"))</f>
        <v>0</v>
      </c>
      <c r="N139" s="114">
        <f>IF(A139="","",IFERROR(COUNTIFS('Auditoria Documental'!$A$7:$A$1000,A139,'Auditoria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39" s="102"/>
    </row>
    <row r="140" ht="14.25" customHeight="1">
      <c r="A140" s="106" t="s">
        <v>2684</v>
      </c>
      <c r="B140" s="39" t="s">
        <v>1400</v>
      </c>
      <c r="C140" s="102" t="str">
        <f t="array" ref="C140">IF(B140="","",IFERROR(INDEX('Cadastro Unidades'!$A$6:$A$222,MATCH(B140,'Cadastro Unidades'!$E$6:$E$222,0)),""))</f>
        <v>DAICO</v>
      </c>
      <c r="D140" s="102"/>
      <c r="E140" s="102"/>
      <c r="F140" s="112"/>
      <c r="G140" s="112"/>
      <c r="H140" s="102"/>
      <c r="I140" s="102"/>
      <c r="J140" s="113">
        <f>IF(A140="","",COUNTIF('Auditoria Documental'!$A$7:$A$1000,A140))</f>
        <v>0</v>
      </c>
      <c r="K140" s="113">
        <f>IF(A140="","",COUNTIFS('Auditoria Documental'!$A$7:$A$1000,A140,'Auditoria Documental'!$K$7:$K$1000,"&lt;&gt;Não avaliado",'Auditoria Documental'!$K$7:$K$1000,"&lt;&gt;"))</f>
        <v>0</v>
      </c>
      <c r="L140" s="114">
        <f>IF(A140="","",IFERROR(SUMIFS('Auditoria Documental'!$N$7:$N$1000,'Auditoria Documental'!$A$7:$A$1000,A140)/SUMIFS('Auditoria Documental'!$M$7:$M$1000,'Auditoria Documental'!$A$7:$A$1000,A140),0))</f>
        <v>0</v>
      </c>
      <c r="M140" s="113">
        <f>IF(A140="","",COUNTIFS('Auditoria Documental'!$A$7:$A$1000,A140,'Auditoria Documental'!$J$7:$J$1000,3,'Auditoria Documental'!$K$7:$K$1000,"Não conforme"))</f>
        <v>0</v>
      </c>
      <c r="N140" s="114">
        <f>IF(A140="","",IFERROR(COUNTIFS('Auditoria Documental'!$A$7:$A$1000,A140,'Auditoria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40" s="102"/>
    </row>
    <row r="141" ht="14.25" customHeight="1">
      <c r="A141" s="106" t="s">
        <v>2685</v>
      </c>
      <c r="B141" s="39" t="s">
        <v>1412</v>
      </c>
      <c r="C141" s="102" t="str">
        <f t="array" ref="C141">IF(B141="","",IFERROR(INDEX('Cadastro Unidades'!$A$6:$A$222,MATCH(B141,'Cadastro Unidades'!$E$6:$E$222,0)),""))</f>
        <v>DAICO</v>
      </c>
      <c r="D141" s="102"/>
      <c r="E141" s="102"/>
      <c r="F141" s="112"/>
      <c r="G141" s="112"/>
      <c r="H141" s="102"/>
      <c r="I141" s="102"/>
      <c r="J141" s="113">
        <f>IF(A141="","",COUNTIF('Auditoria Documental'!$A$7:$A$1000,A141))</f>
        <v>0</v>
      </c>
      <c r="K141" s="113">
        <f>IF(A141="","",COUNTIFS('Auditoria Documental'!$A$7:$A$1000,A141,'Auditoria Documental'!$K$7:$K$1000,"&lt;&gt;Não avaliado",'Auditoria Documental'!$K$7:$K$1000,"&lt;&gt;"))</f>
        <v>0</v>
      </c>
      <c r="L141" s="114">
        <f>IF(A141="","",IFERROR(SUMIFS('Auditoria Documental'!$N$7:$N$1000,'Auditoria Documental'!$A$7:$A$1000,A141)/SUMIFS('Auditoria Documental'!$M$7:$M$1000,'Auditoria Documental'!$A$7:$A$1000,A141),0))</f>
        <v>0</v>
      </c>
      <c r="M141" s="113">
        <f>IF(A141="","",COUNTIFS('Auditoria Documental'!$A$7:$A$1000,A141,'Auditoria Documental'!$J$7:$J$1000,3,'Auditoria Documental'!$K$7:$K$1000,"Não conforme"))</f>
        <v>0</v>
      </c>
      <c r="N141" s="114">
        <f>IF(A141="","",IFERROR(COUNTIFS('Auditoria Documental'!$A$7:$A$1000,A141,'Auditoria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41" s="102"/>
    </row>
    <row r="142" ht="14.25" customHeight="1">
      <c r="A142" s="106" t="s">
        <v>2686</v>
      </c>
      <c r="B142" s="39" t="s">
        <v>1424</v>
      </c>
      <c r="C142" s="102" t="str">
        <f t="array" ref="C142">IF(B142="","",IFERROR(INDEX('Cadastro Unidades'!$A$6:$A$222,MATCH(B142,'Cadastro Unidades'!$E$6:$E$222,0)),""))</f>
        <v>DAICO</v>
      </c>
      <c r="D142" s="102"/>
      <c r="E142" s="102"/>
      <c r="F142" s="112"/>
      <c r="G142" s="112"/>
      <c r="H142" s="102"/>
      <c r="I142" s="102"/>
      <c r="J142" s="113">
        <f>IF(A142="","",COUNTIF('Auditoria Documental'!$A$7:$A$1000,A142))</f>
        <v>0</v>
      </c>
      <c r="K142" s="113">
        <f>IF(A142="","",COUNTIFS('Auditoria Documental'!$A$7:$A$1000,A142,'Auditoria Documental'!$K$7:$K$1000,"&lt;&gt;Não avaliado",'Auditoria Documental'!$K$7:$K$1000,"&lt;&gt;"))</f>
        <v>0</v>
      </c>
      <c r="L142" s="114">
        <f>IF(A142="","",IFERROR(SUMIFS('Auditoria Documental'!$N$7:$N$1000,'Auditoria Documental'!$A$7:$A$1000,A142)/SUMIFS('Auditoria Documental'!$M$7:$M$1000,'Auditoria Documental'!$A$7:$A$1000,A142),0))</f>
        <v>0</v>
      </c>
      <c r="M142" s="113">
        <f>IF(A142="","",COUNTIFS('Auditoria Documental'!$A$7:$A$1000,A142,'Auditoria Documental'!$J$7:$J$1000,3,'Auditoria Documental'!$K$7:$K$1000,"Não conforme"))</f>
        <v>0</v>
      </c>
      <c r="N142" s="114">
        <f>IF(A142="","",IFERROR(COUNTIFS('Auditoria Documental'!$A$7:$A$1000,A142,'Auditoria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42" s="102"/>
    </row>
    <row r="143" ht="14.25" customHeight="1">
      <c r="A143" s="106" t="s">
        <v>2687</v>
      </c>
      <c r="B143" s="39" t="s">
        <v>1431</v>
      </c>
      <c r="C143" s="102" t="str">
        <f t="array" ref="C143">IF(B143="","",IFERROR(INDEX('Cadastro Unidades'!$A$6:$A$222,MATCH(B143,'Cadastro Unidades'!$E$6:$E$222,0)),""))</f>
        <v>DAICO</v>
      </c>
      <c r="D143" s="102"/>
      <c r="E143" s="102"/>
      <c r="F143" s="112"/>
      <c r="G143" s="112"/>
      <c r="H143" s="102"/>
      <c r="I143" s="102"/>
      <c r="J143" s="113">
        <f>IF(A143="","",COUNTIF('Auditoria Documental'!$A$7:$A$1000,A143))</f>
        <v>0</v>
      </c>
      <c r="K143" s="113">
        <f>IF(A143="","",COUNTIFS('Auditoria Documental'!$A$7:$A$1000,A143,'Auditoria Documental'!$K$7:$K$1000,"&lt;&gt;Não avaliado",'Auditoria Documental'!$K$7:$K$1000,"&lt;&gt;"))</f>
        <v>0</v>
      </c>
      <c r="L143" s="114">
        <f>IF(A143="","",IFERROR(SUMIFS('Auditoria Documental'!$N$7:$N$1000,'Auditoria Documental'!$A$7:$A$1000,A143)/SUMIFS('Auditoria Documental'!$M$7:$M$1000,'Auditoria Documental'!$A$7:$A$1000,A143),0))</f>
        <v>0</v>
      </c>
      <c r="M143" s="113">
        <f>IF(A143="","",COUNTIFS('Auditoria Documental'!$A$7:$A$1000,A143,'Auditoria Documental'!$J$7:$J$1000,3,'Auditoria Documental'!$K$7:$K$1000,"Não conforme"))</f>
        <v>0</v>
      </c>
      <c r="N143" s="114">
        <f>IF(A143="","",IFERROR(COUNTIFS('Auditoria Documental'!$A$7:$A$1000,A143,'Auditoria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43" s="102"/>
    </row>
    <row r="144" ht="14.25" customHeight="1">
      <c r="A144" s="106" t="s">
        <v>2688</v>
      </c>
      <c r="B144" s="39" t="s">
        <v>1438</v>
      </c>
      <c r="C144" s="102" t="str">
        <f t="array" ref="C144">IF(B144="","",IFERROR(INDEX('Cadastro Unidades'!$A$6:$A$222,MATCH(B144,'Cadastro Unidades'!$E$6:$E$222,0)),""))</f>
        <v>DAICO</v>
      </c>
      <c r="D144" s="102"/>
      <c r="E144" s="102"/>
      <c r="F144" s="112"/>
      <c r="G144" s="112"/>
      <c r="H144" s="102"/>
      <c r="I144" s="102"/>
      <c r="J144" s="113">
        <f>IF(A144="","",COUNTIF('Auditoria Documental'!$A$7:$A$1000,A144))</f>
        <v>0</v>
      </c>
      <c r="K144" s="113">
        <f>IF(A144="","",COUNTIFS('Auditoria Documental'!$A$7:$A$1000,A144,'Auditoria Documental'!$K$7:$K$1000,"&lt;&gt;Não avaliado",'Auditoria Documental'!$K$7:$K$1000,"&lt;&gt;"))</f>
        <v>0</v>
      </c>
      <c r="L144" s="114">
        <f>IF(A144="","",IFERROR(SUMIFS('Auditoria Documental'!$N$7:$N$1000,'Auditoria Documental'!$A$7:$A$1000,A144)/SUMIFS('Auditoria Documental'!$M$7:$M$1000,'Auditoria Documental'!$A$7:$A$1000,A144),0))</f>
        <v>0</v>
      </c>
      <c r="M144" s="113">
        <f>IF(A144="","",COUNTIFS('Auditoria Documental'!$A$7:$A$1000,A144,'Auditoria Documental'!$J$7:$J$1000,3,'Auditoria Documental'!$K$7:$K$1000,"Não conforme"))</f>
        <v>0</v>
      </c>
      <c r="N144" s="114">
        <f>IF(A144="","",IFERROR(COUNTIFS('Auditoria Documental'!$A$7:$A$1000,A144,'Auditoria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44" s="102"/>
    </row>
    <row r="145" ht="14.25" customHeight="1">
      <c r="A145" s="106" t="s">
        <v>2689</v>
      </c>
      <c r="B145" s="39" t="s">
        <v>1448</v>
      </c>
      <c r="C145" s="102" t="str">
        <f t="array" ref="C145">IF(B145="","",IFERROR(INDEX('Cadastro Unidades'!$A$6:$A$222,MATCH(B145,'Cadastro Unidades'!$E$6:$E$222,0)),""))</f>
        <v>DAICO</v>
      </c>
      <c r="D145" s="102"/>
      <c r="E145" s="102"/>
      <c r="F145" s="112"/>
      <c r="G145" s="112"/>
      <c r="H145" s="102"/>
      <c r="I145" s="102"/>
      <c r="J145" s="113">
        <f>IF(A145="","",COUNTIF('Auditoria Documental'!$A$7:$A$1000,A145))</f>
        <v>0</v>
      </c>
      <c r="K145" s="113">
        <f>IF(A145="","",COUNTIFS('Auditoria Documental'!$A$7:$A$1000,A145,'Auditoria Documental'!$K$7:$K$1000,"&lt;&gt;Não avaliado",'Auditoria Documental'!$K$7:$K$1000,"&lt;&gt;"))</f>
        <v>0</v>
      </c>
      <c r="L145" s="114">
        <f>IF(A145="","",IFERROR(SUMIFS('Auditoria Documental'!$N$7:$N$1000,'Auditoria Documental'!$A$7:$A$1000,A145)/SUMIFS('Auditoria Documental'!$M$7:$M$1000,'Auditoria Documental'!$A$7:$A$1000,A145),0))</f>
        <v>0</v>
      </c>
      <c r="M145" s="113">
        <f>IF(A145="","",COUNTIFS('Auditoria Documental'!$A$7:$A$1000,A145,'Auditoria Documental'!$J$7:$J$1000,3,'Auditoria Documental'!$K$7:$K$1000,"Não conforme"))</f>
        <v>0</v>
      </c>
      <c r="N145" s="114">
        <f>IF(A145="","",IFERROR(COUNTIFS('Auditoria Documental'!$A$7:$A$1000,A145,'Auditoria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45" s="102"/>
    </row>
    <row r="146" ht="14.25" customHeight="1">
      <c r="A146" s="106" t="s">
        <v>2690</v>
      </c>
      <c r="B146" s="39" t="s">
        <v>1456</v>
      </c>
      <c r="C146" s="102" t="str">
        <f t="array" ref="C146">IF(B146="","",IFERROR(INDEX('Cadastro Unidades'!$A$6:$A$222,MATCH(B146,'Cadastro Unidades'!$E$6:$E$222,0)),""))</f>
        <v>DAICO</v>
      </c>
      <c r="D146" s="102"/>
      <c r="E146" s="102"/>
      <c r="F146" s="112"/>
      <c r="G146" s="112"/>
      <c r="H146" s="102"/>
      <c r="I146" s="102"/>
      <c r="J146" s="113">
        <f>IF(A146="","",COUNTIF('Auditoria Documental'!$A$7:$A$1000,A146))</f>
        <v>0</v>
      </c>
      <c r="K146" s="113">
        <f>IF(A146="","",COUNTIFS('Auditoria Documental'!$A$7:$A$1000,A146,'Auditoria Documental'!$K$7:$K$1000,"&lt;&gt;Não avaliado",'Auditoria Documental'!$K$7:$K$1000,"&lt;&gt;"))</f>
        <v>0</v>
      </c>
      <c r="L146" s="114">
        <f>IF(A146="","",IFERROR(SUMIFS('Auditoria Documental'!$N$7:$N$1000,'Auditoria Documental'!$A$7:$A$1000,A146)/SUMIFS('Auditoria Documental'!$M$7:$M$1000,'Auditoria Documental'!$A$7:$A$1000,A146),0))</f>
        <v>0</v>
      </c>
      <c r="M146" s="113">
        <f>IF(A146="","",COUNTIFS('Auditoria Documental'!$A$7:$A$1000,A146,'Auditoria Documental'!$J$7:$J$1000,3,'Auditoria Documental'!$K$7:$K$1000,"Não conforme"))</f>
        <v>0</v>
      </c>
      <c r="N146" s="114">
        <f>IF(A146="","",IFERROR(COUNTIFS('Auditoria Documental'!$A$7:$A$1000,A146,'Auditoria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46" s="102"/>
    </row>
    <row r="147" ht="14.25" customHeight="1">
      <c r="A147" s="106" t="s">
        <v>2691</v>
      </c>
      <c r="B147" s="39" t="s">
        <v>1466</v>
      </c>
      <c r="C147" s="102" t="str">
        <f t="array" ref="C147">IF(B147="","",IFERROR(INDEX('Cadastro Unidades'!$A$6:$A$222,MATCH(B147,'Cadastro Unidades'!$E$6:$E$222,0)),""))</f>
        <v>DAICO</v>
      </c>
      <c r="D147" s="102"/>
      <c r="E147" s="102"/>
      <c r="F147" s="112"/>
      <c r="G147" s="112"/>
      <c r="H147" s="102"/>
      <c r="I147" s="102"/>
      <c r="J147" s="113">
        <f>IF(A147="","",COUNTIF('Auditoria Documental'!$A$7:$A$1000,A147))</f>
        <v>0</v>
      </c>
      <c r="K147" s="113">
        <f>IF(A147="","",COUNTIFS('Auditoria Documental'!$A$7:$A$1000,A147,'Auditoria Documental'!$K$7:$K$1000,"&lt;&gt;Não avaliado",'Auditoria Documental'!$K$7:$K$1000,"&lt;&gt;"))</f>
        <v>0</v>
      </c>
      <c r="L147" s="114">
        <f>IF(A147="","",IFERROR(SUMIFS('Auditoria Documental'!$N$7:$N$1000,'Auditoria Documental'!$A$7:$A$1000,A147)/SUMIFS('Auditoria Documental'!$M$7:$M$1000,'Auditoria Documental'!$A$7:$A$1000,A147),0))</f>
        <v>0</v>
      </c>
      <c r="M147" s="113">
        <f>IF(A147="","",COUNTIFS('Auditoria Documental'!$A$7:$A$1000,A147,'Auditoria Documental'!$J$7:$J$1000,3,'Auditoria Documental'!$K$7:$K$1000,"Não conforme"))</f>
        <v>0</v>
      </c>
      <c r="N147" s="114">
        <f>IF(A147="","",IFERROR(COUNTIFS('Auditoria Documental'!$A$7:$A$1000,A147,'Auditoria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47" s="102"/>
    </row>
    <row r="148" ht="14.25" customHeight="1">
      <c r="A148" s="106" t="s">
        <v>2692</v>
      </c>
      <c r="B148" s="39" t="s">
        <v>1476</v>
      </c>
      <c r="C148" s="102" t="str">
        <f t="array" ref="C148">IF(B148="","",IFERROR(INDEX('Cadastro Unidades'!$A$6:$A$222,MATCH(B148,'Cadastro Unidades'!$E$6:$E$222,0)),""))</f>
        <v>DAICO</v>
      </c>
      <c r="D148" s="102"/>
      <c r="E148" s="102"/>
      <c r="F148" s="112"/>
      <c r="G148" s="112"/>
      <c r="H148" s="102"/>
      <c r="I148" s="102"/>
      <c r="J148" s="113">
        <f>IF(A148="","",COUNTIF('Auditoria Documental'!$A$7:$A$1000,A148))</f>
        <v>0</v>
      </c>
      <c r="K148" s="113">
        <f>IF(A148="","",COUNTIFS('Auditoria Documental'!$A$7:$A$1000,A148,'Auditoria Documental'!$K$7:$K$1000,"&lt;&gt;Não avaliado",'Auditoria Documental'!$K$7:$K$1000,"&lt;&gt;"))</f>
        <v>0</v>
      </c>
      <c r="L148" s="114">
        <f>IF(A148="","",IFERROR(SUMIFS('Auditoria Documental'!$N$7:$N$1000,'Auditoria Documental'!$A$7:$A$1000,A148)/SUMIFS('Auditoria Documental'!$M$7:$M$1000,'Auditoria Documental'!$A$7:$A$1000,A148),0))</f>
        <v>0</v>
      </c>
      <c r="M148" s="113">
        <f>IF(A148="","",COUNTIFS('Auditoria Documental'!$A$7:$A$1000,A148,'Auditoria Documental'!$J$7:$J$1000,3,'Auditoria Documental'!$K$7:$K$1000,"Não conforme"))</f>
        <v>0</v>
      </c>
      <c r="N148" s="114">
        <f>IF(A148="","",IFERROR(COUNTIFS('Auditoria Documental'!$A$7:$A$1000,A148,'Auditoria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48" s="102"/>
    </row>
    <row r="149" ht="14.25" customHeight="1">
      <c r="A149" s="106" t="s">
        <v>2693</v>
      </c>
      <c r="B149" s="39" t="s">
        <v>1484</v>
      </c>
      <c r="C149" s="102" t="str">
        <f t="array" ref="C149">IF(B149="","",IFERROR(INDEX('Cadastro Unidades'!$A$6:$A$222,MATCH(B149,'Cadastro Unidades'!$E$6:$E$222,0)),""))</f>
        <v>DAICO</v>
      </c>
      <c r="D149" s="102"/>
      <c r="E149" s="102"/>
      <c r="F149" s="112"/>
      <c r="G149" s="112"/>
      <c r="H149" s="102"/>
      <c r="I149" s="102"/>
      <c r="J149" s="113">
        <f>IF(A149="","",COUNTIF('Auditoria Documental'!$A$7:$A$1000,A149))</f>
        <v>0</v>
      </c>
      <c r="K149" s="113">
        <f>IF(A149="","",COUNTIFS('Auditoria Documental'!$A$7:$A$1000,A149,'Auditoria Documental'!$K$7:$K$1000,"&lt;&gt;Não avaliado",'Auditoria Documental'!$K$7:$K$1000,"&lt;&gt;"))</f>
        <v>0</v>
      </c>
      <c r="L149" s="114">
        <f>IF(A149="","",IFERROR(SUMIFS('Auditoria Documental'!$N$7:$N$1000,'Auditoria Documental'!$A$7:$A$1000,A149)/SUMIFS('Auditoria Documental'!$M$7:$M$1000,'Auditoria Documental'!$A$7:$A$1000,A149),0))</f>
        <v>0</v>
      </c>
      <c r="M149" s="113">
        <f>IF(A149="","",COUNTIFS('Auditoria Documental'!$A$7:$A$1000,A149,'Auditoria Documental'!$J$7:$J$1000,3,'Auditoria Documental'!$K$7:$K$1000,"Não conforme"))</f>
        <v>0</v>
      </c>
      <c r="N149" s="114">
        <f>IF(A149="","",IFERROR(COUNTIFS('Auditoria Documental'!$A$7:$A$1000,A149,'Auditoria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49" s="102"/>
    </row>
    <row r="150" ht="14.25" customHeight="1">
      <c r="A150" s="106" t="s">
        <v>2694</v>
      </c>
      <c r="B150" s="39" t="s">
        <v>1487</v>
      </c>
      <c r="C150" s="102" t="str">
        <f t="array" ref="C150">IF(B150="","",IFERROR(INDEX('Cadastro Unidades'!$A$6:$A$222,MATCH(B150,'Cadastro Unidades'!$E$6:$E$222,0)),""))</f>
        <v>DAICO</v>
      </c>
      <c r="D150" s="102"/>
      <c r="E150" s="102"/>
      <c r="F150" s="112"/>
      <c r="G150" s="112"/>
      <c r="H150" s="102"/>
      <c r="I150" s="102"/>
      <c r="J150" s="113">
        <f>IF(A150="","",COUNTIF('Auditoria Documental'!$A$7:$A$1000,A150))</f>
        <v>0</v>
      </c>
      <c r="K150" s="113">
        <f>IF(A150="","",COUNTIFS('Auditoria Documental'!$A$7:$A$1000,A150,'Auditoria Documental'!$K$7:$K$1000,"&lt;&gt;Não avaliado",'Auditoria Documental'!$K$7:$K$1000,"&lt;&gt;"))</f>
        <v>0</v>
      </c>
      <c r="L150" s="114">
        <f>IF(A150="","",IFERROR(SUMIFS('Auditoria Documental'!$N$7:$N$1000,'Auditoria Documental'!$A$7:$A$1000,A150)/SUMIFS('Auditoria Documental'!$M$7:$M$1000,'Auditoria Documental'!$A$7:$A$1000,A150),0))</f>
        <v>0</v>
      </c>
      <c r="M150" s="113">
        <f>IF(A150="","",COUNTIFS('Auditoria Documental'!$A$7:$A$1000,A150,'Auditoria Documental'!$J$7:$J$1000,3,'Auditoria Documental'!$K$7:$K$1000,"Não conforme"))</f>
        <v>0</v>
      </c>
      <c r="N150" s="114">
        <f>IF(A150="","",IFERROR(COUNTIFS('Auditoria Documental'!$A$7:$A$1000,A150,'Auditoria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50" s="102"/>
    </row>
    <row r="151" ht="14.25" customHeight="1">
      <c r="A151" s="106" t="s">
        <v>2695</v>
      </c>
      <c r="B151" s="39" t="s">
        <v>1491</v>
      </c>
      <c r="C151" s="102" t="str">
        <f t="array" ref="C151">IF(B151="","",IFERROR(INDEX('Cadastro Unidades'!$A$6:$A$222,MATCH(B151,'Cadastro Unidades'!$E$6:$E$222,0)),""))</f>
        <v>DAICO</v>
      </c>
      <c r="D151" s="102"/>
      <c r="E151" s="102"/>
      <c r="F151" s="112"/>
      <c r="G151" s="112"/>
      <c r="H151" s="102"/>
      <c r="I151" s="102"/>
      <c r="J151" s="113">
        <f>IF(A151="","",COUNTIF('Auditoria Documental'!$A$7:$A$1000,A151))</f>
        <v>0</v>
      </c>
      <c r="K151" s="113">
        <f>IF(A151="","",COUNTIFS('Auditoria Documental'!$A$7:$A$1000,A151,'Auditoria Documental'!$K$7:$K$1000,"&lt;&gt;Não avaliado",'Auditoria Documental'!$K$7:$K$1000,"&lt;&gt;"))</f>
        <v>0</v>
      </c>
      <c r="L151" s="114">
        <f>IF(A151="","",IFERROR(SUMIFS('Auditoria Documental'!$N$7:$N$1000,'Auditoria Documental'!$A$7:$A$1000,A151)/SUMIFS('Auditoria Documental'!$M$7:$M$1000,'Auditoria Documental'!$A$7:$A$1000,A151),0))</f>
        <v>0</v>
      </c>
      <c r="M151" s="113">
        <f>IF(A151="","",COUNTIFS('Auditoria Documental'!$A$7:$A$1000,A151,'Auditoria Documental'!$J$7:$J$1000,3,'Auditoria Documental'!$K$7:$K$1000,"Não conforme"))</f>
        <v>0</v>
      </c>
      <c r="N151" s="114">
        <f>IF(A151="","",IFERROR(COUNTIFS('Auditoria Documental'!$A$7:$A$1000,A151,'Auditoria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51" s="102"/>
    </row>
    <row r="152" ht="14.25" customHeight="1">
      <c r="A152" s="106" t="s">
        <v>2696</v>
      </c>
      <c r="B152" s="39" t="s">
        <v>1497</v>
      </c>
      <c r="C152" s="102" t="str">
        <f t="array" ref="C152">IF(B152="","",IFERROR(INDEX('Cadastro Unidades'!$A$6:$A$222,MATCH(B152,'Cadastro Unidades'!$E$6:$E$222,0)),""))</f>
        <v>DAICO</v>
      </c>
      <c r="D152" s="102"/>
      <c r="E152" s="102"/>
      <c r="F152" s="112"/>
      <c r="G152" s="112"/>
      <c r="H152" s="102"/>
      <c r="I152" s="102"/>
      <c r="J152" s="113">
        <f>IF(A152="","",COUNTIF('Auditoria Documental'!$A$7:$A$1000,A152))</f>
        <v>0</v>
      </c>
      <c r="K152" s="113">
        <f>IF(A152="","",COUNTIFS('Auditoria Documental'!$A$7:$A$1000,A152,'Auditoria Documental'!$K$7:$K$1000,"&lt;&gt;Não avaliado",'Auditoria Documental'!$K$7:$K$1000,"&lt;&gt;"))</f>
        <v>0</v>
      </c>
      <c r="L152" s="114">
        <f>IF(A152="","",IFERROR(SUMIFS('Auditoria Documental'!$N$7:$N$1000,'Auditoria Documental'!$A$7:$A$1000,A152)/SUMIFS('Auditoria Documental'!$M$7:$M$1000,'Auditoria Documental'!$A$7:$A$1000,A152),0))</f>
        <v>0</v>
      </c>
      <c r="M152" s="113">
        <f>IF(A152="","",COUNTIFS('Auditoria Documental'!$A$7:$A$1000,A152,'Auditoria Documental'!$J$7:$J$1000,3,'Auditoria Documental'!$K$7:$K$1000,"Não conforme"))</f>
        <v>0</v>
      </c>
      <c r="N152" s="114">
        <f>IF(A152="","",IFERROR(COUNTIFS('Auditoria Documental'!$A$7:$A$1000,A152,'Auditoria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52" s="102"/>
    </row>
    <row r="153" ht="14.25" customHeight="1">
      <c r="A153" s="106" t="s">
        <v>2697</v>
      </c>
      <c r="B153" s="39" t="s">
        <v>1507</v>
      </c>
      <c r="C153" s="102" t="str">
        <f t="array" ref="C153">IF(B153="","",IFERROR(INDEX('Cadastro Unidades'!$A$6:$A$222,MATCH(B153,'Cadastro Unidades'!$E$6:$E$222,0)),""))</f>
        <v>DAICO</v>
      </c>
      <c r="D153" s="102"/>
      <c r="E153" s="102"/>
      <c r="F153" s="112"/>
      <c r="G153" s="112"/>
      <c r="H153" s="102"/>
      <c r="I153" s="102"/>
      <c r="J153" s="113">
        <f>IF(A153="","",COUNTIF('Auditoria Documental'!$A$7:$A$1000,A153))</f>
        <v>0</v>
      </c>
      <c r="K153" s="113">
        <f>IF(A153="","",COUNTIFS('Auditoria Documental'!$A$7:$A$1000,A153,'Auditoria Documental'!$K$7:$K$1000,"&lt;&gt;Não avaliado",'Auditoria Documental'!$K$7:$K$1000,"&lt;&gt;"))</f>
        <v>0</v>
      </c>
      <c r="L153" s="114">
        <f>IF(A153="","",IFERROR(SUMIFS('Auditoria Documental'!$N$7:$N$1000,'Auditoria Documental'!$A$7:$A$1000,A153)/SUMIFS('Auditoria Documental'!$M$7:$M$1000,'Auditoria Documental'!$A$7:$A$1000,A153),0))</f>
        <v>0</v>
      </c>
      <c r="M153" s="113">
        <f>IF(A153="","",COUNTIFS('Auditoria Documental'!$A$7:$A$1000,A153,'Auditoria Documental'!$J$7:$J$1000,3,'Auditoria Documental'!$K$7:$K$1000,"Não conforme"))</f>
        <v>0</v>
      </c>
      <c r="N153" s="114">
        <f>IF(A153="","",IFERROR(COUNTIFS('Auditoria Documental'!$A$7:$A$1000,A153,'Auditoria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53" s="102"/>
    </row>
    <row r="154" ht="14.25" customHeight="1">
      <c r="A154" s="106" t="s">
        <v>2698</v>
      </c>
      <c r="B154" s="39" t="s">
        <v>1518</v>
      </c>
      <c r="C154" s="102" t="str">
        <f t="array" ref="C154">IF(B154="","",IFERROR(INDEX('Cadastro Unidades'!$A$6:$A$222,MATCH(B154,'Cadastro Unidades'!$E$6:$E$222,0)),""))</f>
        <v>DAICO</v>
      </c>
      <c r="D154" s="102"/>
      <c r="E154" s="102"/>
      <c r="F154" s="112"/>
      <c r="G154" s="112"/>
      <c r="H154" s="102"/>
      <c r="I154" s="102"/>
      <c r="J154" s="113">
        <f>IF(A154="","",COUNTIF('Auditoria Documental'!$A$7:$A$1000,A154))</f>
        <v>0</v>
      </c>
      <c r="K154" s="113">
        <f>IF(A154="","",COUNTIFS('Auditoria Documental'!$A$7:$A$1000,A154,'Auditoria Documental'!$K$7:$K$1000,"&lt;&gt;Não avaliado",'Auditoria Documental'!$K$7:$K$1000,"&lt;&gt;"))</f>
        <v>0</v>
      </c>
      <c r="L154" s="114">
        <f>IF(A154="","",IFERROR(SUMIFS('Auditoria Documental'!$N$7:$N$1000,'Auditoria Documental'!$A$7:$A$1000,A154)/SUMIFS('Auditoria Documental'!$M$7:$M$1000,'Auditoria Documental'!$A$7:$A$1000,A154),0))</f>
        <v>0</v>
      </c>
      <c r="M154" s="113">
        <f>IF(A154="","",COUNTIFS('Auditoria Documental'!$A$7:$A$1000,A154,'Auditoria Documental'!$J$7:$J$1000,3,'Auditoria Documental'!$K$7:$K$1000,"Não conforme"))</f>
        <v>0</v>
      </c>
      <c r="N154" s="114">
        <f>IF(A154="","",IFERROR(COUNTIFS('Auditoria Documental'!$A$7:$A$1000,A154,'Auditoria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54" s="102"/>
    </row>
    <row r="155" ht="14.25" customHeight="1">
      <c r="A155" s="106" t="s">
        <v>2699</v>
      </c>
      <c r="B155" s="39" t="s">
        <v>1527</v>
      </c>
      <c r="C155" s="102" t="str">
        <f t="array" ref="C155">IF(B155="","",IFERROR(INDEX('Cadastro Unidades'!$A$6:$A$222,MATCH(B155,'Cadastro Unidades'!$E$6:$E$222,0)),""))</f>
        <v>DAICO</v>
      </c>
      <c r="D155" s="102"/>
      <c r="E155" s="102"/>
      <c r="F155" s="112"/>
      <c r="G155" s="112"/>
      <c r="H155" s="102"/>
      <c r="I155" s="102"/>
      <c r="J155" s="113">
        <f>IF(A155="","",COUNTIF('Auditoria Documental'!$A$7:$A$1000,A155))</f>
        <v>0</v>
      </c>
      <c r="K155" s="113">
        <f>IF(A155="","",COUNTIFS('Auditoria Documental'!$A$7:$A$1000,A155,'Auditoria Documental'!$K$7:$K$1000,"&lt;&gt;Não avaliado",'Auditoria Documental'!$K$7:$K$1000,"&lt;&gt;"))</f>
        <v>0</v>
      </c>
      <c r="L155" s="114">
        <f>IF(A155="","",IFERROR(SUMIFS('Auditoria Documental'!$N$7:$N$1000,'Auditoria Documental'!$A$7:$A$1000,A155)/SUMIFS('Auditoria Documental'!$M$7:$M$1000,'Auditoria Documental'!$A$7:$A$1000,A155),0))</f>
        <v>0</v>
      </c>
      <c r="M155" s="113">
        <f>IF(A155="","",COUNTIFS('Auditoria Documental'!$A$7:$A$1000,A155,'Auditoria Documental'!$J$7:$J$1000,3,'Auditoria Documental'!$K$7:$K$1000,"Não conforme"))</f>
        <v>0</v>
      </c>
      <c r="N155" s="114">
        <f>IF(A155="","",IFERROR(COUNTIFS('Auditoria Documental'!$A$7:$A$1000,A155,'Auditoria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55" s="102"/>
    </row>
    <row r="156" ht="14.25" customHeight="1">
      <c r="A156" s="106" t="s">
        <v>2700</v>
      </c>
      <c r="B156" s="39" t="s">
        <v>1540</v>
      </c>
      <c r="C156" s="102" t="str">
        <f t="array" ref="C156">IF(B156="","",IFERROR(INDEX('Cadastro Unidades'!$A$6:$A$222,MATCH(B156,'Cadastro Unidades'!$E$6:$E$222,0)),""))</f>
        <v>DAICO</v>
      </c>
      <c r="D156" s="102"/>
      <c r="E156" s="102"/>
      <c r="F156" s="112"/>
      <c r="G156" s="112"/>
      <c r="H156" s="102"/>
      <c r="I156" s="102"/>
      <c r="J156" s="113">
        <f>IF(A156="","",COUNTIF('Auditoria Documental'!$A$7:$A$1000,A156))</f>
        <v>0</v>
      </c>
      <c r="K156" s="113">
        <f>IF(A156="","",COUNTIFS('Auditoria Documental'!$A$7:$A$1000,A156,'Auditoria Documental'!$K$7:$K$1000,"&lt;&gt;Não avaliado",'Auditoria Documental'!$K$7:$K$1000,"&lt;&gt;"))</f>
        <v>0</v>
      </c>
      <c r="L156" s="114">
        <f>IF(A156="","",IFERROR(SUMIFS('Auditoria Documental'!$N$7:$N$1000,'Auditoria Documental'!$A$7:$A$1000,A156)/SUMIFS('Auditoria Documental'!$M$7:$M$1000,'Auditoria Documental'!$A$7:$A$1000,A156),0))</f>
        <v>0</v>
      </c>
      <c r="M156" s="113">
        <f>IF(A156="","",COUNTIFS('Auditoria Documental'!$A$7:$A$1000,A156,'Auditoria Documental'!$J$7:$J$1000,3,'Auditoria Documental'!$K$7:$K$1000,"Não conforme"))</f>
        <v>0</v>
      </c>
      <c r="N156" s="114">
        <f>IF(A156="","",IFERROR(COUNTIFS('Auditoria Documental'!$A$7:$A$1000,A156,'Auditoria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56" s="102"/>
    </row>
    <row r="157" ht="14.25" customHeight="1">
      <c r="A157" s="106" t="s">
        <v>2701</v>
      </c>
      <c r="B157" s="39" t="s">
        <v>1553</v>
      </c>
      <c r="C157" s="102" t="str">
        <f t="array" ref="C157">IF(B157="","",IFERROR(INDEX('Cadastro Unidades'!$A$6:$A$222,MATCH(B157,'Cadastro Unidades'!$E$6:$E$222,0)),""))</f>
        <v>DAICO</v>
      </c>
      <c r="D157" s="102"/>
      <c r="E157" s="102"/>
      <c r="F157" s="112"/>
      <c r="G157" s="112"/>
      <c r="H157" s="102"/>
      <c r="I157" s="102"/>
      <c r="J157" s="113">
        <f>IF(A157="","",COUNTIF('Auditoria Documental'!$A$7:$A$1000,A157))</f>
        <v>0</v>
      </c>
      <c r="K157" s="113">
        <f>IF(A157="","",COUNTIFS('Auditoria Documental'!$A$7:$A$1000,A157,'Auditoria Documental'!$K$7:$K$1000,"&lt;&gt;Não avaliado",'Auditoria Documental'!$K$7:$K$1000,"&lt;&gt;"))</f>
        <v>0</v>
      </c>
      <c r="L157" s="114">
        <f>IF(A157="","",IFERROR(SUMIFS('Auditoria Documental'!$N$7:$N$1000,'Auditoria Documental'!$A$7:$A$1000,A157)/SUMIFS('Auditoria Documental'!$M$7:$M$1000,'Auditoria Documental'!$A$7:$A$1000,A157),0))</f>
        <v>0</v>
      </c>
      <c r="M157" s="113">
        <f>IF(A157="","",COUNTIFS('Auditoria Documental'!$A$7:$A$1000,A157,'Auditoria Documental'!$J$7:$J$1000,3,'Auditoria Documental'!$K$7:$K$1000,"Não conforme"))</f>
        <v>0</v>
      </c>
      <c r="N157" s="114">
        <f>IF(A157="","",IFERROR(COUNTIFS('Auditoria Documental'!$A$7:$A$1000,A157,'Auditoria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57" s="102"/>
    </row>
    <row r="158" ht="14.25" customHeight="1">
      <c r="A158" s="106" t="s">
        <v>2702</v>
      </c>
      <c r="B158" s="39" t="s">
        <v>1566</v>
      </c>
      <c r="C158" s="102" t="str">
        <f t="array" ref="C158">IF(B158="","",IFERROR(INDEX('Cadastro Unidades'!$A$6:$A$222,MATCH(B158,'Cadastro Unidades'!$E$6:$E$222,0)),""))</f>
        <v>DAICO</v>
      </c>
      <c r="D158" s="102"/>
      <c r="E158" s="102"/>
      <c r="F158" s="112"/>
      <c r="G158" s="112"/>
      <c r="H158" s="102"/>
      <c r="I158" s="102"/>
      <c r="J158" s="113">
        <f>IF(A158="","",COUNTIF('Auditoria Documental'!$A$7:$A$1000,A158))</f>
        <v>0</v>
      </c>
      <c r="K158" s="113">
        <f>IF(A158="","",COUNTIFS('Auditoria Documental'!$A$7:$A$1000,A158,'Auditoria Documental'!$K$7:$K$1000,"&lt;&gt;Não avaliado",'Auditoria Documental'!$K$7:$K$1000,"&lt;&gt;"))</f>
        <v>0</v>
      </c>
      <c r="L158" s="114">
        <f>IF(A158="","",IFERROR(SUMIFS('Auditoria Documental'!$N$7:$N$1000,'Auditoria Documental'!$A$7:$A$1000,A158)/SUMIFS('Auditoria Documental'!$M$7:$M$1000,'Auditoria Documental'!$A$7:$A$1000,A158),0))</f>
        <v>0</v>
      </c>
      <c r="M158" s="113">
        <f>IF(A158="","",COUNTIFS('Auditoria Documental'!$A$7:$A$1000,A158,'Auditoria Documental'!$J$7:$J$1000,3,'Auditoria Documental'!$K$7:$K$1000,"Não conforme"))</f>
        <v>0</v>
      </c>
      <c r="N158" s="114">
        <f>IF(A158="","",IFERROR(COUNTIFS('Auditoria Documental'!$A$7:$A$1000,A158,'Auditoria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58" s="102"/>
    </row>
    <row r="159" ht="14.25" customHeight="1">
      <c r="A159" s="106" t="s">
        <v>2703</v>
      </c>
      <c r="B159" s="39" t="s">
        <v>1577</v>
      </c>
      <c r="C159" s="102" t="str">
        <f t="array" ref="C159">IF(B159="","",IFERROR(INDEX('Cadastro Unidades'!$A$6:$A$222,MATCH(B159,'Cadastro Unidades'!$E$6:$E$222,0)),""))</f>
        <v>DAICO</v>
      </c>
      <c r="D159" s="102"/>
      <c r="E159" s="102"/>
      <c r="F159" s="112"/>
      <c r="G159" s="112"/>
      <c r="H159" s="102"/>
      <c r="I159" s="102"/>
      <c r="J159" s="113">
        <f>IF(A159="","",COUNTIF('Auditoria Documental'!$A$7:$A$1000,A159))</f>
        <v>0</v>
      </c>
      <c r="K159" s="113">
        <f>IF(A159="","",COUNTIFS('Auditoria Documental'!$A$7:$A$1000,A159,'Auditoria Documental'!$K$7:$K$1000,"&lt;&gt;Não avaliado",'Auditoria Documental'!$K$7:$K$1000,"&lt;&gt;"))</f>
        <v>0</v>
      </c>
      <c r="L159" s="114">
        <f>IF(A159="","",IFERROR(SUMIFS('Auditoria Documental'!$N$7:$N$1000,'Auditoria Documental'!$A$7:$A$1000,A159)/SUMIFS('Auditoria Documental'!$M$7:$M$1000,'Auditoria Documental'!$A$7:$A$1000,A159),0))</f>
        <v>0</v>
      </c>
      <c r="M159" s="113">
        <f>IF(A159="","",COUNTIFS('Auditoria Documental'!$A$7:$A$1000,A159,'Auditoria Documental'!$J$7:$J$1000,3,'Auditoria Documental'!$K$7:$K$1000,"Não conforme"))</f>
        <v>0</v>
      </c>
      <c r="N159" s="114">
        <f>IF(A159="","",IFERROR(COUNTIFS('Auditoria Documental'!$A$7:$A$1000,A159,'Auditoria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59" s="102"/>
    </row>
    <row r="160" ht="14.25" customHeight="1">
      <c r="A160" s="106" t="s">
        <v>2704</v>
      </c>
      <c r="B160" s="39" t="s">
        <v>1589</v>
      </c>
      <c r="C160" s="102" t="str">
        <f t="array" ref="C160">IF(B160="","",IFERROR(INDEX('Cadastro Unidades'!$A$6:$A$222,MATCH(B160,'Cadastro Unidades'!$E$6:$E$222,0)),""))</f>
        <v>DAICO</v>
      </c>
      <c r="D160" s="102"/>
      <c r="E160" s="102"/>
      <c r="F160" s="112"/>
      <c r="G160" s="112"/>
      <c r="H160" s="102"/>
      <c r="I160" s="102"/>
      <c r="J160" s="113">
        <f>IF(A160="","",COUNTIF('Auditoria Documental'!$A$7:$A$1000,A160))</f>
        <v>0</v>
      </c>
      <c r="K160" s="113">
        <f>IF(A160="","",COUNTIFS('Auditoria Documental'!$A$7:$A$1000,A160,'Auditoria Documental'!$K$7:$K$1000,"&lt;&gt;Não avaliado",'Auditoria Documental'!$K$7:$K$1000,"&lt;&gt;"))</f>
        <v>0</v>
      </c>
      <c r="L160" s="114">
        <f>IF(A160="","",IFERROR(SUMIFS('Auditoria Documental'!$N$7:$N$1000,'Auditoria Documental'!$A$7:$A$1000,A160)/SUMIFS('Auditoria Documental'!$M$7:$M$1000,'Auditoria Documental'!$A$7:$A$1000,A160),0))</f>
        <v>0</v>
      </c>
      <c r="M160" s="113">
        <f>IF(A160="","",COUNTIFS('Auditoria Documental'!$A$7:$A$1000,A160,'Auditoria Documental'!$J$7:$J$1000,3,'Auditoria Documental'!$K$7:$K$1000,"Não conforme"))</f>
        <v>0</v>
      </c>
      <c r="N160" s="114">
        <f>IF(A160="","",IFERROR(COUNTIFS('Auditoria Documental'!$A$7:$A$1000,A160,'Auditoria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60" s="102"/>
    </row>
    <row r="161" ht="14.25" customHeight="1">
      <c r="A161" s="106" t="s">
        <v>2705</v>
      </c>
      <c r="B161" s="39" t="s">
        <v>1601</v>
      </c>
      <c r="C161" s="102" t="str">
        <f t="array" ref="C161">IF(B161="","",IFERROR(INDEX('Cadastro Unidades'!$A$6:$A$222,MATCH(B161,'Cadastro Unidades'!$E$6:$E$222,0)),""))</f>
        <v>DAICO</v>
      </c>
      <c r="D161" s="102"/>
      <c r="E161" s="102"/>
      <c r="F161" s="112"/>
      <c r="G161" s="112"/>
      <c r="H161" s="102"/>
      <c r="I161" s="102"/>
      <c r="J161" s="113">
        <f>IF(A161="","",COUNTIF('Auditoria Documental'!$A$7:$A$1000,A161))</f>
        <v>0</v>
      </c>
      <c r="K161" s="113">
        <f>IF(A161="","",COUNTIFS('Auditoria Documental'!$A$7:$A$1000,A161,'Auditoria Documental'!$K$7:$K$1000,"&lt;&gt;Não avaliado",'Auditoria Documental'!$K$7:$K$1000,"&lt;&gt;"))</f>
        <v>0</v>
      </c>
      <c r="L161" s="114">
        <f>IF(A161="","",IFERROR(SUMIFS('Auditoria Documental'!$N$7:$N$1000,'Auditoria Documental'!$A$7:$A$1000,A161)/SUMIFS('Auditoria Documental'!$M$7:$M$1000,'Auditoria Documental'!$A$7:$A$1000,A161),0))</f>
        <v>0</v>
      </c>
      <c r="M161" s="113">
        <f>IF(A161="","",COUNTIFS('Auditoria Documental'!$A$7:$A$1000,A161,'Auditoria Documental'!$J$7:$J$1000,3,'Auditoria Documental'!$K$7:$K$1000,"Não conforme"))</f>
        <v>0</v>
      </c>
      <c r="N161" s="114">
        <f>IF(A161="","",IFERROR(COUNTIFS('Auditoria Documental'!$A$7:$A$1000,A161,'Auditoria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61" s="102"/>
    </row>
    <row r="162" ht="14.25" customHeight="1">
      <c r="A162" s="106" t="s">
        <v>2706</v>
      </c>
      <c r="B162" s="39" t="s">
        <v>1607</v>
      </c>
      <c r="C162" s="102" t="str">
        <f t="array" ref="C162">IF(B162="","",IFERROR(INDEX('Cadastro Unidades'!$A$6:$A$222,MATCH(B162,'Cadastro Unidades'!$E$6:$E$222,0)),""))</f>
        <v>DAMOS</v>
      </c>
      <c r="D162" s="102"/>
      <c r="E162" s="102"/>
      <c r="F162" s="112"/>
      <c r="G162" s="112"/>
      <c r="H162" s="102"/>
      <c r="I162" s="102"/>
      <c r="J162" s="113">
        <f>IF(A162="","",COUNTIF('Auditoria Documental'!$A$7:$A$1000,A162))</f>
        <v>0</v>
      </c>
      <c r="K162" s="113">
        <f>IF(A162="","",COUNTIFS('Auditoria Documental'!$A$7:$A$1000,A162,'Auditoria Documental'!$K$7:$K$1000,"&lt;&gt;Não avaliado",'Auditoria Documental'!$K$7:$K$1000,"&lt;&gt;"))</f>
        <v>0</v>
      </c>
      <c r="L162" s="114">
        <f>IF(A162="","",IFERROR(SUMIFS('Auditoria Documental'!$N$7:$N$1000,'Auditoria Documental'!$A$7:$A$1000,A162)/SUMIFS('Auditoria Documental'!$M$7:$M$1000,'Auditoria Documental'!$A$7:$A$1000,A162),0))</f>
        <v>0</v>
      </c>
      <c r="M162" s="113">
        <f>IF(A162="","",COUNTIFS('Auditoria Documental'!$A$7:$A$1000,A162,'Auditoria Documental'!$J$7:$J$1000,3,'Auditoria Documental'!$K$7:$K$1000,"Não conforme"))</f>
        <v>0</v>
      </c>
      <c r="N162" s="114">
        <f>IF(A162="","",IFERROR(COUNTIFS('Auditoria Documental'!$A$7:$A$1000,A162,'Auditoria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62" s="102"/>
    </row>
    <row r="163" ht="14.25" customHeight="1">
      <c r="A163" s="106" t="s">
        <v>2707</v>
      </c>
      <c r="B163" s="39" t="s">
        <v>1620</v>
      </c>
      <c r="C163" s="102" t="str">
        <f t="array" ref="C163">IF(B163="","",IFERROR(INDEX('Cadastro Unidades'!$A$6:$A$222,MATCH(B163,'Cadastro Unidades'!$E$6:$E$222,0)),""))</f>
        <v>DAMOS</v>
      </c>
      <c r="D163" s="102"/>
      <c r="E163" s="102"/>
      <c r="F163" s="112"/>
      <c r="G163" s="112"/>
      <c r="H163" s="102"/>
      <c r="I163" s="102"/>
      <c r="J163" s="113">
        <f>IF(A163="","",COUNTIF('Auditoria Documental'!$A$7:$A$1000,A163))</f>
        <v>0</v>
      </c>
      <c r="K163" s="113">
        <f>IF(A163="","",COUNTIFS('Auditoria Documental'!$A$7:$A$1000,A163,'Auditoria Documental'!$K$7:$K$1000,"&lt;&gt;Não avaliado",'Auditoria Documental'!$K$7:$K$1000,"&lt;&gt;"))</f>
        <v>0</v>
      </c>
      <c r="L163" s="114">
        <f>IF(A163="","",IFERROR(SUMIFS('Auditoria Documental'!$N$7:$N$1000,'Auditoria Documental'!$A$7:$A$1000,A163)/SUMIFS('Auditoria Documental'!$M$7:$M$1000,'Auditoria Documental'!$A$7:$A$1000,A163),0))</f>
        <v>0</v>
      </c>
      <c r="M163" s="113">
        <f>IF(A163="","",COUNTIFS('Auditoria Documental'!$A$7:$A$1000,A163,'Auditoria Documental'!$J$7:$J$1000,3,'Auditoria Documental'!$K$7:$K$1000,"Não conforme"))</f>
        <v>0</v>
      </c>
      <c r="N163" s="114">
        <f>IF(A163="","",IFERROR(COUNTIFS('Auditoria Documental'!$A$7:$A$1000,A163,'Auditoria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63" s="102"/>
    </row>
    <row r="164" ht="14.25" customHeight="1">
      <c r="A164" s="106" t="s">
        <v>2708</v>
      </c>
      <c r="B164" s="39" t="s">
        <v>1632</v>
      </c>
      <c r="C164" s="102" t="str">
        <f t="array" ref="C164">IF(B164="","",IFERROR(INDEX('Cadastro Unidades'!$A$6:$A$222,MATCH(B164,'Cadastro Unidades'!$E$6:$E$222,0)),""))</f>
        <v>DAMOS</v>
      </c>
      <c r="D164" s="102"/>
      <c r="E164" s="102"/>
      <c r="F164" s="112"/>
      <c r="G164" s="112"/>
      <c r="H164" s="102"/>
      <c r="I164" s="102"/>
      <c r="J164" s="113">
        <f>IF(A164="","",COUNTIF('Auditoria Documental'!$A$7:$A$1000,A164))</f>
        <v>0</v>
      </c>
      <c r="K164" s="113">
        <f>IF(A164="","",COUNTIFS('Auditoria Documental'!$A$7:$A$1000,A164,'Auditoria Documental'!$K$7:$K$1000,"&lt;&gt;Não avaliado",'Auditoria Documental'!$K$7:$K$1000,"&lt;&gt;"))</f>
        <v>0</v>
      </c>
      <c r="L164" s="114">
        <f>IF(A164="","",IFERROR(SUMIFS('Auditoria Documental'!$N$7:$N$1000,'Auditoria Documental'!$A$7:$A$1000,A164)/SUMIFS('Auditoria Documental'!$M$7:$M$1000,'Auditoria Documental'!$A$7:$A$1000,A164),0))</f>
        <v>0</v>
      </c>
      <c r="M164" s="113">
        <f>IF(A164="","",COUNTIFS('Auditoria Documental'!$A$7:$A$1000,A164,'Auditoria Documental'!$J$7:$J$1000,3,'Auditoria Documental'!$K$7:$K$1000,"Não conforme"))</f>
        <v>0</v>
      </c>
      <c r="N164" s="114">
        <f>IF(A164="","",IFERROR(COUNTIFS('Auditoria Documental'!$A$7:$A$1000,A164,'Auditoria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64" s="102"/>
    </row>
    <row r="165" ht="14.25" customHeight="1">
      <c r="A165" s="106" t="s">
        <v>2709</v>
      </c>
      <c r="B165" s="39" t="s">
        <v>1644</v>
      </c>
      <c r="C165" s="102" t="str">
        <f t="array" ref="C165">IF(B165="","",IFERROR(INDEX('Cadastro Unidades'!$A$6:$A$222,MATCH(B165,'Cadastro Unidades'!$E$6:$E$222,0)),""))</f>
        <v>DAMOS</v>
      </c>
      <c r="D165" s="102"/>
      <c r="E165" s="102"/>
      <c r="F165" s="112"/>
      <c r="G165" s="112"/>
      <c r="H165" s="102"/>
      <c r="I165" s="102"/>
      <c r="J165" s="113">
        <f>IF(A165="","",COUNTIF('Auditoria Documental'!$A$7:$A$1000,A165))</f>
        <v>0</v>
      </c>
      <c r="K165" s="113">
        <f>IF(A165="","",COUNTIFS('Auditoria Documental'!$A$7:$A$1000,A165,'Auditoria Documental'!$K$7:$K$1000,"&lt;&gt;Não avaliado",'Auditoria Documental'!$K$7:$K$1000,"&lt;&gt;"))</f>
        <v>0</v>
      </c>
      <c r="L165" s="114">
        <f>IF(A165="","",IFERROR(SUMIFS('Auditoria Documental'!$N$7:$N$1000,'Auditoria Documental'!$A$7:$A$1000,A165)/SUMIFS('Auditoria Documental'!$M$7:$M$1000,'Auditoria Documental'!$A$7:$A$1000,A165),0))</f>
        <v>0</v>
      </c>
      <c r="M165" s="113">
        <f>IF(A165="","",COUNTIFS('Auditoria Documental'!$A$7:$A$1000,A165,'Auditoria Documental'!$J$7:$J$1000,3,'Auditoria Documental'!$K$7:$K$1000,"Não conforme"))</f>
        <v>0</v>
      </c>
      <c r="N165" s="114">
        <f>IF(A165="","",IFERROR(COUNTIFS('Auditoria Documental'!$A$7:$A$1000,A165,'Auditoria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65" s="102"/>
    </row>
    <row r="166" ht="14.25" customHeight="1">
      <c r="A166" s="106" t="s">
        <v>2710</v>
      </c>
      <c r="B166" s="39" t="s">
        <v>1654</v>
      </c>
      <c r="C166" s="102" t="str">
        <f t="array" ref="C166">IF(B166="","",IFERROR(INDEX('Cadastro Unidades'!$A$6:$A$222,MATCH(B166,'Cadastro Unidades'!$E$6:$E$222,0)),""))</f>
        <v>DAMOS</v>
      </c>
      <c r="D166" s="102"/>
      <c r="E166" s="102"/>
      <c r="F166" s="112"/>
      <c r="G166" s="112"/>
      <c r="H166" s="102"/>
      <c r="I166" s="102"/>
      <c r="J166" s="113">
        <f>IF(A166="","",COUNTIF('Auditoria Documental'!$A$7:$A$1000,A166))</f>
        <v>0</v>
      </c>
      <c r="K166" s="113">
        <f>IF(A166="","",COUNTIFS('Auditoria Documental'!$A$7:$A$1000,A166,'Auditoria Documental'!$K$7:$K$1000,"&lt;&gt;Não avaliado",'Auditoria Documental'!$K$7:$K$1000,"&lt;&gt;"))</f>
        <v>0</v>
      </c>
      <c r="L166" s="114">
        <f>IF(A166="","",IFERROR(SUMIFS('Auditoria Documental'!$N$7:$N$1000,'Auditoria Documental'!$A$7:$A$1000,A166)/SUMIFS('Auditoria Documental'!$M$7:$M$1000,'Auditoria Documental'!$A$7:$A$1000,A166),0))</f>
        <v>0</v>
      </c>
      <c r="M166" s="113">
        <f>IF(A166="","",COUNTIFS('Auditoria Documental'!$A$7:$A$1000,A166,'Auditoria Documental'!$J$7:$J$1000,3,'Auditoria Documental'!$K$7:$K$1000,"Não conforme"))</f>
        <v>0</v>
      </c>
      <c r="N166" s="114">
        <f>IF(A166="","",IFERROR(COUNTIFS('Auditoria Documental'!$A$7:$A$1000,A166,'Auditoria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66" s="102"/>
    </row>
    <row r="167" ht="14.25" customHeight="1">
      <c r="A167" s="106" t="s">
        <v>2711</v>
      </c>
      <c r="B167" s="39" t="s">
        <v>1663</v>
      </c>
      <c r="C167" s="102" t="str">
        <f t="array" ref="C167">IF(B167="","",IFERROR(INDEX('Cadastro Unidades'!$A$6:$A$222,MATCH(B167,'Cadastro Unidades'!$E$6:$E$222,0)),""))</f>
        <v>DAMOS</v>
      </c>
      <c r="D167" s="102"/>
      <c r="E167" s="102"/>
      <c r="F167" s="112"/>
      <c r="G167" s="112"/>
      <c r="H167" s="102"/>
      <c r="I167" s="102"/>
      <c r="J167" s="113">
        <f>IF(A167="","",COUNTIF('Auditoria Documental'!$A$7:$A$1000,A167))</f>
        <v>0</v>
      </c>
      <c r="K167" s="113">
        <f>IF(A167="","",COUNTIFS('Auditoria Documental'!$A$7:$A$1000,A167,'Auditoria Documental'!$K$7:$K$1000,"&lt;&gt;Não avaliado",'Auditoria Documental'!$K$7:$K$1000,"&lt;&gt;"))</f>
        <v>0</v>
      </c>
      <c r="L167" s="114">
        <f>IF(A167="","",IFERROR(SUMIFS('Auditoria Documental'!$N$7:$N$1000,'Auditoria Documental'!$A$7:$A$1000,A167)/SUMIFS('Auditoria Documental'!$M$7:$M$1000,'Auditoria Documental'!$A$7:$A$1000,A167),0))</f>
        <v>0</v>
      </c>
      <c r="M167" s="113">
        <f>IF(A167="","",COUNTIFS('Auditoria Documental'!$A$7:$A$1000,A167,'Auditoria Documental'!$J$7:$J$1000,3,'Auditoria Documental'!$K$7:$K$1000,"Não conforme"))</f>
        <v>0</v>
      </c>
      <c r="N167" s="114">
        <f>IF(A167="","",IFERROR(COUNTIFS('Auditoria Documental'!$A$7:$A$1000,A167,'Auditoria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67" s="102"/>
    </row>
    <row r="168" ht="14.25" customHeight="1">
      <c r="A168" s="106" t="s">
        <v>2712</v>
      </c>
      <c r="B168" s="39" t="s">
        <v>1668</v>
      </c>
      <c r="C168" s="102" t="str">
        <f t="array" ref="C168">IF(B168="","",IFERROR(INDEX('Cadastro Unidades'!$A$6:$A$222,MATCH(B168,'Cadastro Unidades'!$E$6:$E$222,0)),""))</f>
        <v>DAMOS</v>
      </c>
      <c r="D168" s="102"/>
      <c r="E168" s="102"/>
      <c r="F168" s="112"/>
      <c r="G168" s="112"/>
      <c r="H168" s="102"/>
      <c r="I168" s="102"/>
      <c r="J168" s="113">
        <f>IF(A168="","",COUNTIF('Auditoria Documental'!$A$7:$A$1000,A168))</f>
        <v>0</v>
      </c>
      <c r="K168" s="113">
        <f>IF(A168="","",COUNTIFS('Auditoria Documental'!$A$7:$A$1000,A168,'Auditoria Documental'!$K$7:$K$1000,"&lt;&gt;Não avaliado",'Auditoria Documental'!$K$7:$K$1000,"&lt;&gt;"))</f>
        <v>0</v>
      </c>
      <c r="L168" s="114">
        <f>IF(A168="","",IFERROR(SUMIFS('Auditoria Documental'!$N$7:$N$1000,'Auditoria Documental'!$A$7:$A$1000,A168)/SUMIFS('Auditoria Documental'!$M$7:$M$1000,'Auditoria Documental'!$A$7:$A$1000,A168),0))</f>
        <v>0</v>
      </c>
      <c r="M168" s="113">
        <f>IF(A168="","",COUNTIFS('Auditoria Documental'!$A$7:$A$1000,A168,'Auditoria Documental'!$J$7:$J$1000,3,'Auditoria Documental'!$K$7:$K$1000,"Não conforme"))</f>
        <v>0</v>
      </c>
      <c r="N168" s="114">
        <f>IF(A168="","",IFERROR(COUNTIFS('Auditoria Documental'!$A$7:$A$1000,A168,'Auditoria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68" s="102"/>
    </row>
    <row r="169" ht="14.25" customHeight="1">
      <c r="A169" s="106" t="s">
        <v>2713</v>
      </c>
      <c r="B169" s="39" t="s">
        <v>1680</v>
      </c>
      <c r="C169" s="102" t="str">
        <f t="array" ref="C169">IF(B169="","",IFERROR(INDEX('Cadastro Unidades'!$A$6:$A$222,MATCH(B169,'Cadastro Unidades'!$E$6:$E$222,0)),""))</f>
        <v>DAMOS</v>
      </c>
      <c r="D169" s="102"/>
      <c r="E169" s="102"/>
      <c r="F169" s="112"/>
      <c r="G169" s="112"/>
      <c r="H169" s="102"/>
      <c r="I169" s="102"/>
      <c r="J169" s="113">
        <f>IF(A169="","",COUNTIF('Auditoria Documental'!$A$7:$A$1000,A169))</f>
        <v>0</v>
      </c>
      <c r="K169" s="113">
        <f>IF(A169="","",COUNTIFS('Auditoria Documental'!$A$7:$A$1000,A169,'Auditoria Documental'!$K$7:$K$1000,"&lt;&gt;Não avaliado",'Auditoria Documental'!$K$7:$K$1000,"&lt;&gt;"))</f>
        <v>0</v>
      </c>
      <c r="L169" s="114">
        <f>IF(A169="","",IFERROR(SUMIFS('Auditoria Documental'!$N$7:$N$1000,'Auditoria Documental'!$A$7:$A$1000,A169)/SUMIFS('Auditoria Documental'!$M$7:$M$1000,'Auditoria Documental'!$A$7:$A$1000,A169),0))</f>
        <v>0</v>
      </c>
      <c r="M169" s="113">
        <f>IF(A169="","",COUNTIFS('Auditoria Documental'!$A$7:$A$1000,A169,'Auditoria Documental'!$J$7:$J$1000,3,'Auditoria Documental'!$K$7:$K$1000,"Não conforme"))</f>
        <v>0</v>
      </c>
      <c r="N169" s="114">
        <f>IF(A169="","",IFERROR(COUNTIFS('Auditoria Documental'!$A$7:$A$1000,A169,'Auditoria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69" s="102"/>
    </row>
    <row r="170" ht="14.25" customHeight="1">
      <c r="A170" s="106" t="s">
        <v>2714</v>
      </c>
      <c r="B170" s="39" t="s">
        <v>1691</v>
      </c>
      <c r="C170" s="102" t="str">
        <f t="array" ref="C170">IF(B170="","",IFERROR(INDEX('Cadastro Unidades'!$A$6:$A$222,MATCH(B170,'Cadastro Unidades'!$E$6:$E$222,0)),""))</f>
        <v>DAMOS</v>
      </c>
      <c r="D170" s="102"/>
      <c r="E170" s="102"/>
      <c r="F170" s="112"/>
      <c r="G170" s="112"/>
      <c r="H170" s="102"/>
      <c r="I170" s="102"/>
      <c r="J170" s="113">
        <f>IF(A170="","",COUNTIF('Auditoria Documental'!$A$7:$A$1000,A170))</f>
        <v>0</v>
      </c>
      <c r="K170" s="113">
        <f>IF(A170="","",COUNTIFS('Auditoria Documental'!$A$7:$A$1000,A170,'Auditoria Documental'!$K$7:$K$1000,"&lt;&gt;Não avaliado",'Auditoria Documental'!$K$7:$K$1000,"&lt;&gt;"))</f>
        <v>0</v>
      </c>
      <c r="L170" s="114">
        <f>IF(A170="","",IFERROR(SUMIFS('Auditoria Documental'!$N$7:$N$1000,'Auditoria Documental'!$A$7:$A$1000,A170)/SUMIFS('Auditoria Documental'!$M$7:$M$1000,'Auditoria Documental'!$A$7:$A$1000,A170),0))</f>
        <v>0</v>
      </c>
      <c r="M170" s="113">
        <f>IF(A170="","",COUNTIFS('Auditoria Documental'!$A$7:$A$1000,A170,'Auditoria Documental'!$J$7:$J$1000,3,'Auditoria Documental'!$K$7:$K$1000,"Não conforme"))</f>
        <v>0</v>
      </c>
      <c r="N170" s="114">
        <f>IF(A170="","",IFERROR(COUNTIFS('Auditoria Documental'!$A$7:$A$1000,A170,'Auditoria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70" s="102"/>
    </row>
    <row r="171" ht="14.25" customHeight="1">
      <c r="A171" s="106" t="s">
        <v>2715</v>
      </c>
      <c r="B171" s="39" t="s">
        <v>1697</v>
      </c>
      <c r="C171" s="102" t="str">
        <f t="array" ref="C171">IF(B171="","",IFERROR(INDEX('Cadastro Unidades'!$A$6:$A$222,MATCH(B171,'Cadastro Unidades'!$E$6:$E$222,0)),""))</f>
        <v>DAMOS</v>
      </c>
      <c r="D171" s="102"/>
      <c r="E171" s="102"/>
      <c r="F171" s="112"/>
      <c r="G171" s="112"/>
      <c r="H171" s="102"/>
      <c r="I171" s="102"/>
      <c r="J171" s="113">
        <f>IF(A171="","",COUNTIF('Auditoria Documental'!$A$7:$A$1000,A171))</f>
        <v>0</v>
      </c>
      <c r="K171" s="113">
        <f>IF(A171="","",COUNTIFS('Auditoria Documental'!$A$7:$A$1000,A171,'Auditoria Documental'!$K$7:$K$1000,"&lt;&gt;Não avaliado",'Auditoria Documental'!$K$7:$K$1000,"&lt;&gt;"))</f>
        <v>0</v>
      </c>
      <c r="L171" s="114">
        <f>IF(A171="","",IFERROR(SUMIFS('Auditoria Documental'!$N$7:$N$1000,'Auditoria Documental'!$A$7:$A$1000,A171)/SUMIFS('Auditoria Documental'!$M$7:$M$1000,'Auditoria Documental'!$A$7:$A$1000,A171),0))</f>
        <v>0</v>
      </c>
      <c r="M171" s="113">
        <f>IF(A171="","",COUNTIFS('Auditoria Documental'!$A$7:$A$1000,A171,'Auditoria Documental'!$J$7:$J$1000,3,'Auditoria Documental'!$K$7:$K$1000,"Não conforme"))</f>
        <v>0</v>
      </c>
      <c r="N171" s="114">
        <f>IF(A171="","",IFERROR(COUNTIFS('Auditoria Documental'!$A$7:$A$1000,A171,'Auditoria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71" s="102"/>
    </row>
    <row r="172" ht="14.25" customHeight="1">
      <c r="A172" s="106" t="s">
        <v>2716</v>
      </c>
      <c r="B172" s="39" t="s">
        <v>1701</v>
      </c>
      <c r="C172" s="102" t="str">
        <f t="array" ref="C172">IF(B172="","",IFERROR(INDEX('Cadastro Unidades'!$A$6:$A$222,MATCH(B172,'Cadastro Unidades'!$E$6:$E$222,0)),""))</f>
        <v>DAMOS</v>
      </c>
      <c r="D172" s="102"/>
      <c r="E172" s="102"/>
      <c r="F172" s="112"/>
      <c r="G172" s="112"/>
      <c r="H172" s="102"/>
      <c r="I172" s="102"/>
      <c r="J172" s="113">
        <f>IF(A172="","",COUNTIF('Auditoria Documental'!$A$7:$A$1000,A172))</f>
        <v>0</v>
      </c>
      <c r="K172" s="113">
        <f>IF(A172="","",COUNTIFS('Auditoria Documental'!$A$7:$A$1000,A172,'Auditoria Documental'!$K$7:$K$1000,"&lt;&gt;Não avaliado",'Auditoria Documental'!$K$7:$K$1000,"&lt;&gt;"))</f>
        <v>0</v>
      </c>
      <c r="L172" s="114">
        <f>IF(A172="","",IFERROR(SUMIFS('Auditoria Documental'!$N$7:$N$1000,'Auditoria Documental'!$A$7:$A$1000,A172)/SUMIFS('Auditoria Documental'!$M$7:$M$1000,'Auditoria Documental'!$A$7:$A$1000,A172),0))</f>
        <v>0</v>
      </c>
      <c r="M172" s="113">
        <f>IF(A172="","",COUNTIFS('Auditoria Documental'!$A$7:$A$1000,A172,'Auditoria Documental'!$J$7:$J$1000,3,'Auditoria Documental'!$K$7:$K$1000,"Não conforme"))</f>
        <v>0</v>
      </c>
      <c r="N172" s="114">
        <f>IF(A172="","",IFERROR(COUNTIFS('Auditoria Documental'!$A$7:$A$1000,A172,'Auditoria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72" s="102"/>
    </row>
    <row r="173" ht="14.25" customHeight="1">
      <c r="A173" s="106" t="s">
        <v>2717</v>
      </c>
      <c r="B173" s="39" t="s">
        <v>1706</v>
      </c>
      <c r="C173" s="102" t="str">
        <f t="array" ref="C173">IF(B173="","",IFERROR(INDEX('Cadastro Unidades'!$A$6:$A$222,MATCH(B173,'Cadastro Unidades'!$E$6:$E$222,0)),""))</f>
        <v>DAMOS</v>
      </c>
      <c r="D173" s="102"/>
      <c r="E173" s="102"/>
      <c r="F173" s="112"/>
      <c r="G173" s="112"/>
      <c r="H173" s="102"/>
      <c r="I173" s="102"/>
      <c r="J173" s="113">
        <f>IF(A173="","",COUNTIF('Auditoria Documental'!$A$7:$A$1000,A173))</f>
        <v>0</v>
      </c>
      <c r="K173" s="113">
        <f>IF(A173="","",COUNTIFS('Auditoria Documental'!$A$7:$A$1000,A173,'Auditoria Documental'!$K$7:$K$1000,"&lt;&gt;Não avaliado",'Auditoria Documental'!$K$7:$K$1000,"&lt;&gt;"))</f>
        <v>0</v>
      </c>
      <c r="L173" s="114">
        <f>IF(A173="","",IFERROR(SUMIFS('Auditoria Documental'!$N$7:$N$1000,'Auditoria Documental'!$A$7:$A$1000,A173)/SUMIFS('Auditoria Documental'!$M$7:$M$1000,'Auditoria Documental'!$A$7:$A$1000,A173),0))</f>
        <v>0</v>
      </c>
      <c r="M173" s="113">
        <f>IF(A173="","",COUNTIFS('Auditoria Documental'!$A$7:$A$1000,A173,'Auditoria Documental'!$J$7:$J$1000,3,'Auditoria Documental'!$K$7:$K$1000,"Não conforme"))</f>
        <v>0</v>
      </c>
      <c r="N173" s="114">
        <f>IF(A173="","",IFERROR(COUNTIFS('Auditoria Documental'!$A$7:$A$1000,A173,'Auditoria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73" s="102"/>
    </row>
    <row r="174" ht="14.25" customHeight="1">
      <c r="A174" s="106" t="s">
        <v>2718</v>
      </c>
      <c r="B174" s="39" t="s">
        <v>1717</v>
      </c>
      <c r="C174" s="102" t="str">
        <f t="array" ref="C174">IF(B174="","",IFERROR(INDEX('Cadastro Unidades'!$A$6:$A$222,MATCH(B174,'Cadastro Unidades'!$E$6:$E$222,0)),""))</f>
        <v>DAMOS</v>
      </c>
      <c r="D174" s="102"/>
      <c r="E174" s="102"/>
      <c r="F174" s="112"/>
      <c r="G174" s="112"/>
      <c r="H174" s="102"/>
      <c r="I174" s="102"/>
      <c r="J174" s="113">
        <f>IF(A174="","",COUNTIF('Auditoria Documental'!$A$7:$A$1000,A174))</f>
        <v>0</v>
      </c>
      <c r="K174" s="113">
        <f>IF(A174="","",COUNTIFS('Auditoria Documental'!$A$7:$A$1000,A174,'Auditoria Documental'!$K$7:$K$1000,"&lt;&gt;Não avaliado",'Auditoria Documental'!$K$7:$K$1000,"&lt;&gt;"))</f>
        <v>0</v>
      </c>
      <c r="L174" s="114">
        <f>IF(A174="","",IFERROR(SUMIFS('Auditoria Documental'!$N$7:$N$1000,'Auditoria Documental'!$A$7:$A$1000,A174)/SUMIFS('Auditoria Documental'!$M$7:$M$1000,'Auditoria Documental'!$A$7:$A$1000,A174),0))</f>
        <v>0</v>
      </c>
      <c r="M174" s="113">
        <f>IF(A174="","",COUNTIFS('Auditoria Documental'!$A$7:$A$1000,A174,'Auditoria Documental'!$J$7:$J$1000,3,'Auditoria Documental'!$K$7:$K$1000,"Não conforme"))</f>
        <v>0</v>
      </c>
      <c r="N174" s="114">
        <f>IF(A174="","",IFERROR(COUNTIFS('Auditoria Documental'!$A$7:$A$1000,A174,'Auditoria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74" s="102"/>
    </row>
    <row r="175" ht="14.25" customHeight="1">
      <c r="A175" s="106" t="s">
        <v>2719</v>
      </c>
      <c r="B175" s="39" t="s">
        <v>1729</v>
      </c>
      <c r="C175" s="102" t="str">
        <f t="array" ref="C175">IF(B175="","",IFERROR(INDEX('Cadastro Unidades'!$A$6:$A$222,MATCH(B175,'Cadastro Unidades'!$E$6:$E$222,0)),""))</f>
        <v>DAMOS</v>
      </c>
      <c r="D175" s="102"/>
      <c r="E175" s="102"/>
      <c r="F175" s="112"/>
      <c r="G175" s="112"/>
      <c r="H175" s="102"/>
      <c r="I175" s="102"/>
      <c r="J175" s="113">
        <f>IF(A175="","",COUNTIF('Auditoria Documental'!$A$7:$A$1000,A175))</f>
        <v>0</v>
      </c>
      <c r="K175" s="113">
        <f>IF(A175="","",COUNTIFS('Auditoria Documental'!$A$7:$A$1000,A175,'Auditoria Documental'!$K$7:$K$1000,"&lt;&gt;Não avaliado",'Auditoria Documental'!$K$7:$K$1000,"&lt;&gt;"))</f>
        <v>0</v>
      </c>
      <c r="L175" s="114">
        <f>IF(A175="","",IFERROR(SUMIFS('Auditoria Documental'!$N$7:$N$1000,'Auditoria Documental'!$A$7:$A$1000,A175)/SUMIFS('Auditoria Documental'!$M$7:$M$1000,'Auditoria Documental'!$A$7:$A$1000,A175),0))</f>
        <v>0</v>
      </c>
      <c r="M175" s="113">
        <f>IF(A175="","",COUNTIFS('Auditoria Documental'!$A$7:$A$1000,A175,'Auditoria Documental'!$J$7:$J$1000,3,'Auditoria Documental'!$K$7:$K$1000,"Não conforme"))</f>
        <v>0</v>
      </c>
      <c r="N175" s="114">
        <f>IF(A175="","",IFERROR(COUNTIFS('Auditoria Documental'!$A$7:$A$1000,A175,'Auditoria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75" s="102"/>
    </row>
    <row r="176" ht="14.25" customHeight="1">
      <c r="A176" s="106" t="s">
        <v>2720</v>
      </c>
      <c r="B176" s="39" t="s">
        <v>1740</v>
      </c>
      <c r="C176" s="102" t="str">
        <f t="array" ref="C176">IF(B176="","",IFERROR(INDEX('Cadastro Unidades'!$A$6:$A$222,MATCH(B176,'Cadastro Unidades'!$E$6:$E$222,0)),""))</f>
        <v>DAMOS</v>
      </c>
      <c r="D176" s="102"/>
      <c r="E176" s="102"/>
      <c r="F176" s="112"/>
      <c r="G176" s="112"/>
      <c r="H176" s="102"/>
      <c r="I176" s="102"/>
      <c r="J176" s="113">
        <f>IF(A176="","",COUNTIF('Auditoria Documental'!$A$7:$A$1000,A176))</f>
        <v>0</v>
      </c>
      <c r="K176" s="113">
        <f>IF(A176="","",COUNTIFS('Auditoria Documental'!$A$7:$A$1000,A176,'Auditoria Documental'!$K$7:$K$1000,"&lt;&gt;Não avaliado",'Auditoria Documental'!$K$7:$K$1000,"&lt;&gt;"))</f>
        <v>0</v>
      </c>
      <c r="L176" s="114">
        <f>IF(A176="","",IFERROR(SUMIFS('Auditoria Documental'!$N$7:$N$1000,'Auditoria Documental'!$A$7:$A$1000,A176)/SUMIFS('Auditoria Documental'!$M$7:$M$1000,'Auditoria Documental'!$A$7:$A$1000,A176),0))</f>
        <v>0</v>
      </c>
      <c r="M176" s="113">
        <f>IF(A176="","",COUNTIFS('Auditoria Documental'!$A$7:$A$1000,A176,'Auditoria Documental'!$J$7:$J$1000,3,'Auditoria Documental'!$K$7:$K$1000,"Não conforme"))</f>
        <v>0</v>
      </c>
      <c r="N176" s="114">
        <f>IF(A176="","",IFERROR(COUNTIFS('Auditoria Documental'!$A$7:$A$1000,A176,'Auditoria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76" s="102"/>
    </row>
    <row r="177" ht="14.25" customHeight="1">
      <c r="A177" s="106" t="s">
        <v>2721</v>
      </c>
      <c r="B177" s="39" t="s">
        <v>1751</v>
      </c>
      <c r="C177" s="102" t="str">
        <f t="array" ref="C177">IF(B177="","",IFERROR(INDEX('Cadastro Unidades'!$A$6:$A$222,MATCH(B177,'Cadastro Unidades'!$E$6:$E$222,0)),""))</f>
        <v>DAMOS</v>
      </c>
      <c r="D177" s="102"/>
      <c r="E177" s="102"/>
      <c r="F177" s="112"/>
      <c r="G177" s="112"/>
      <c r="H177" s="102"/>
      <c r="I177" s="102"/>
      <c r="J177" s="113">
        <f>IF(A177="","",COUNTIF('Auditoria Documental'!$A$7:$A$1000,A177))</f>
        <v>0</v>
      </c>
      <c r="K177" s="113">
        <f>IF(A177="","",COUNTIFS('Auditoria Documental'!$A$7:$A$1000,A177,'Auditoria Documental'!$K$7:$K$1000,"&lt;&gt;Não avaliado",'Auditoria Documental'!$K$7:$K$1000,"&lt;&gt;"))</f>
        <v>0</v>
      </c>
      <c r="L177" s="114">
        <f>IF(A177="","",IFERROR(SUMIFS('Auditoria Documental'!$N$7:$N$1000,'Auditoria Documental'!$A$7:$A$1000,A177)/SUMIFS('Auditoria Documental'!$M$7:$M$1000,'Auditoria Documental'!$A$7:$A$1000,A177),0))</f>
        <v>0</v>
      </c>
      <c r="M177" s="113">
        <f>IF(A177="","",COUNTIFS('Auditoria Documental'!$A$7:$A$1000,A177,'Auditoria Documental'!$J$7:$J$1000,3,'Auditoria Documental'!$K$7:$K$1000,"Não conforme"))</f>
        <v>0</v>
      </c>
      <c r="N177" s="114">
        <f>IF(A177="","",IFERROR(COUNTIFS('Auditoria Documental'!$A$7:$A$1000,A177,'Auditoria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77" s="102"/>
    </row>
    <row r="178" ht="14.25" customHeight="1">
      <c r="A178" s="106" t="s">
        <v>2722</v>
      </c>
      <c r="B178" s="39" t="s">
        <v>1760</v>
      </c>
      <c r="C178" s="102" t="str">
        <f t="array" ref="C178">IF(B178="","",IFERROR(INDEX('Cadastro Unidades'!$A$6:$A$222,MATCH(B178,'Cadastro Unidades'!$E$6:$E$222,0)),""))</f>
        <v>DAMOS</v>
      </c>
      <c r="D178" s="102"/>
      <c r="E178" s="102"/>
      <c r="F178" s="112"/>
      <c r="G178" s="112"/>
      <c r="H178" s="102"/>
      <c r="I178" s="102"/>
      <c r="J178" s="113">
        <f>IF(A178="","",COUNTIF('Auditoria Documental'!$A$7:$A$1000,A178))</f>
        <v>0</v>
      </c>
      <c r="K178" s="113">
        <f>IF(A178="","",COUNTIFS('Auditoria Documental'!$A$7:$A$1000,A178,'Auditoria Documental'!$K$7:$K$1000,"&lt;&gt;Não avaliado",'Auditoria Documental'!$K$7:$K$1000,"&lt;&gt;"))</f>
        <v>0</v>
      </c>
      <c r="L178" s="114">
        <f>IF(A178="","",IFERROR(SUMIFS('Auditoria Documental'!$N$7:$N$1000,'Auditoria Documental'!$A$7:$A$1000,A178)/SUMIFS('Auditoria Documental'!$M$7:$M$1000,'Auditoria Documental'!$A$7:$A$1000,A178),0))</f>
        <v>0</v>
      </c>
      <c r="M178" s="113">
        <f>IF(A178="","",COUNTIFS('Auditoria Documental'!$A$7:$A$1000,A178,'Auditoria Documental'!$J$7:$J$1000,3,'Auditoria Documental'!$K$7:$K$1000,"Não conforme"))</f>
        <v>0</v>
      </c>
      <c r="N178" s="114">
        <f>IF(A178="","",IFERROR(COUNTIFS('Auditoria Documental'!$A$7:$A$1000,A178,'Auditoria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78" s="102"/>
    </row>
    <row r="179" ht="14.25" customHeight="1">
      <c r="A179" s="106" t="s">
        <v>2723</v>
      </c>
      <c r="B179" s="39" t="s">
        <v>1769</v>
      </c>
      <c r="C179" s="102" t="str">
        <f t="array" ref="C179">IF(B179="","",IFERROR(INDEX('Cadastro Unidades'!$A$6:$A$222,MATCH(B179,'Cadastro Unidades'!$E$6:$E$222,0)),""))</f>
        <v>DAMOS</v>
      </c>
      <c r="D179" s="102"/>
      <c r="E179" s="102"/>
      <c r="F179" s="112"/>
      <c r="G179" s="112"/>
      <c r="H179" s="102"/>
      <c r="I179" s="102"/>
      <c r="J179" s="113">
        <f>IF(A179="","",COUNTIF('Auditoria Documental'!$A$7:$A$1000,A179))</f>
        <v>0</v>
      </c>
      <c r="K179" s="113">
        <f>IF(A179="","",COUNTIFS('Auditoria Documental'!$A$7:$A$1000,A179,'Auditoria Documental'!$K$7:$K$1000,"&lt;&gt;Não avaliado",'Auditoria Documental'!$K$7:$K$1000,"&lt;&gt;"))</f>
        <v>0</v>
      </c>
      <c r="L179" s="114">
        <f>IF(A179="","",IFERROR(SUMIFS('Auditoria Documental'!$N$7:$N$1000,'Auditoria Documental'!$A$7:$A$1000,A179)/SUMIFS('Auditoria Documental'!$M$7:$M$1000,'Auditoria Documental'!$A$7:$A$1000,A179),0))</f>
        <v>0</v>
      </c>
      <c r="M179" s="113">
        <f>IF(A179="","",COUNTIFS('Auditoria Documental'!$A$7:$A$1000,A179,'Auditoria Documental'!$J$7:$J$1000,3,'Auditoria Documental'!$K$7:$K$1000,"Não conforme"))</f>
        <v>0</v>
      </c>
      <c r="N179" s="114">
        <f>IF(A179="","",IFERROR(COUNTIFS('Auditoria Documental'!$A$7:$A$1000,A179,'Auditoria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79" s="102"/>
    </row>
    <row r="180" ht="14.25" customHeight="1">
      <c r="A180" s="106" t="s">
        <v>2724</v>
      </c>
      <c r="B180" s="39" t="s">
        <v>1781</v>
      </c>
      <c r="C180" s="102" t="str">
        <f t="array" ref="C180">IF(B180="","",IFERROR(INDEX('Cadastro Unidades'!$A$6:$A$222,MATCH(B180,'Cadastro Unidades'!$E$6:$E$222,0)),""))</f>
        <v>DAMOS</v>
      </c>
      <c r="D180" s="102"/>
      <c r="E180" s="102"/>
      <c r="F180" s="112"/>
      <c r="G180" s="112"/>
      <c r="H180" s="102"/>
      <c r="I180" s="102"/>
      <c r="J180" s="113">
        <f>IF(A180="","",COUNTIF('Auditoria Documental'!$A$7:$A$1000,A180))</f>
        <v>0</v>
      </c>
      <c r="K180" s="113">
        <f>IF(A180="","",COUNTIFS('Auditoria Documental'!$A$7:$A$1000,A180,'Auditoria Documental'!$K$7:$K$1000,"&lt;&gt;Não avaliado",'Auditoria Documental'!$K$7:$K$1000,"&lt;&gt;"))</f>
        <v>0</v>
      </c>
      <c r="L180" s="114">
        <f>IF(A180="","",IFERROR(SUMIFS('Auditoria Documental'!$N$7:$N$1000,'Auditoria Documental'!$A$7:$A$1000,A180)/SUMIFS('Auditoria Documental'!$M$7:$M$1000,'Auditoria Documental'!$A$7:$A$1000,A180),0))</f>
        <v>0</v>
      </c>
      <c r="M180" s="113">
        <f>IF(A180="","",COUNTIFS('Auditoria Documental'!$A$7:$A$1000,A180,'Auditoria Documental'!$J$7:$J$1000,3,'Auditoria Documental'!$K$7:$K$1000,"Não conforme"))</f>
        <v>0</v>
      </c>
      <c r="N180" s="114">
        <f>IF(A180="","",IFERROR(COUNTIFS('Auditoria Documental'!$A$7:$A$1000,A180,'Auditoria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80" s="102"/>
    </row>
    <row r="181" ht="14.25" customHeight="1">
      <c r="A181" s="106" t="s">
        <v>2725</v>
      </c>
      <c r="B181" s="39" t="s">
        <v>1793</v>
      </c>
      <c r="C181" s="102" t="str">
        <f t="array" ref="C181">IF(B181="","",IFERROR(INDEX('Cadastro Unidades'!$A$6:$A$222,MATCH(B181,'Cadastro Unidades'!$E$6:$E$222,0)),""))</f>
        <v>DAOUT</v>
      </c>
      <c r="D181" s="102"/>
      <c r="E181" s="102"/>
      <c r="F181" s="112"/>
      <c r="G181" s="112"/>
      <c r="H181" s="102"/>
      <c r="I181" s="102"/>
      <c r="J181" s="113">
        <f>IF(A181="","",COUNTIF('Auditoria Documental'!$A$7:$A$1000,A181))</f>
        <v>0</v>
      </c>
      <c r="K181" s="113">
        <f>IF(A181="","",COUNTIFS('Auditoria Documental'!$A$7:$A$1000,A181,'Auditoria Documental'!$K$7:$K$1000,"&lt;&gt;Não avaliado",'Auditoria Documental'!$K$7:$K$1000,"&lt;&gt;"))</f>
        <v>0</v>
      </c>
      <c r="L181" s="114">
        <f>IF(A181="","",IFERROR(SUMIFS('Auditoria Documental'!$N$7:$N$1000,'Auditoria Documental'!$A$7:$A$1000,A181)/SUMIFS('Auditoria Documental'!$M$7:$M$1000,'Auditoria Documental'!$A$7:$A$1000,A181),0))</f>
        <v>0</v>
      </c>
      <c r="M181" s="113">
        <f>IF(A181="","",COUNTIFS('Auditoria Documental'!$A$7:$A$1000,A181,'Auditoria Documental'!$J$7:$J$1000,3,'Auditoria Documental'!$K$7:$K$1000,"Não conforme"))</f>
        <v>0</v>
      </c>
      <c r="N181" s="114">
        <f>IF(A181="","",IFERROR(COUNTIFS('Auditoria Documental'!$A$7:$A$1000,A181,'Auditoria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81" s="102"/>
    </row>
    <row r="182" ht="14.25" customHeight="1">
      <c r="A182" s="106" t="s">
        <v>2726</v>
      </c>
      <c r="B182" s="39" t="s">
        <v>1805</v>
      </c>
      <c r="C182" s="102" t="str">
        <f t="array" ref="C182">IF(B182="","",IFERROR(INDEX('Cadastro Unidades'!$A$6:$A$222,MATCH(B182,'Cadastro Unidades'!$E$6:$E$222,0)),""))</f>
        <v>DAOUT</v>
      </c>
      <c r="D182" s="102"/>
      <c r="E182" s="102"/>
      <c r="F182" s="112"/>
      <c r="G182" s="112"/>
      <c r="H182" s="102"/>
      <c r="I182" s="102"/>
      <c r="J182" s="113">
        <f>IF(A182="","",COUNTIF('Auditoria Documental'!$A$7:$A$1000,A182))</f>
        <v>0</v>
      </c>
      <c r="K182" s="113">
        <f>IF(A182="","",COUNTIFS('Auditoria Documental'!$A$7:$A$1000,A182,'Auditoria Documental'!$K$7:$K$1000,"&lt;&gt;Não avaliado",'Auditoria Documental'!$K$7:$K$1000,"&lt;&gt;"))</f>
        <v>0</v>
      </c>
      <c r="L182" s="114">
        <f>IF(A182="","",IFERROR(SUMIFS('Auditoria Documental'!$N$7:$N$1000,'Auditoria Documental'!$A$7:$A$1000,A182)/SUMIFS('Auditoria Documental'!$M$7:$M$1000,'Auditoria Documental'!$A$7:$A$1000,A182),0))</f>
        <v>0</v>
      </c>
      <c r="M182" s="113">
        <f>IF(A182="","",COUNTIFS('Auditoria Documental'!$A$7:$A$1000,A182,'Auditoria Documental'!$J$7:$J$1000,3,'Auditoria Documental'!$K$7:$K$1000,"Não conforme"))</f>
        <v>0</v>
      </c>
      <c r="N182" s="114">
        <f>IF(A182="","",IFERROR(COUNTIFS('Auditoria Documental'!$A$7:$A$1000,A182,'Auditoria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82" s="102"/>
    </row>
    <row r="183" ht="14.25" customHeight="1">
      <c r="A183" s="106" t="s">
        <v>2727</v>
      </c>
      <c r="B183" s="39" t="s">
        <v>1817</v>
      </c>
      <c r="C183" s="102" t="str">
        <f t="array" ref="C183">IF(B183="","",IFERROR(INDEX('Cadastro Unidades'!$A$6:$A$222,MATCH(B183,'Cadastro Unidades'!$E$6:$E$222,0)),""))</f>
        <v>DAOUT</v>
      </c>
      <c r="D183" s="102"/>
      <c r="E183" s="102"/>
      <c r="F183" s="112"/>
      <c r="G183" s="112"/>
      <c r="H183" s="102"/>
      <c r="I183" s="102"/>
      <c r="J183" s="113">
        <f>IF(A183="","",COUNTIF('Auditoria Documental'!$A$7:$A$1000,A183))</f>
        <v>0</v>
      </c>
      <c r="K183" s="113">
        <f>IF(A183="","",COUNTIFS('Auditoria Documental'!$A$7:$A$1000,A183,'Auditoria Documental'!$K$7:$K$1000,"&lt;&gt;Não avaliado",'Auditoria Documental'!$K$7:$K$1000,"&lt;&gt;"))</f>
        <v>0</v>
      </c>
      <c r="L183" s="114">
        <f>IF(A183="","",IFERROR(SUMIFS('Auditoria Documental'!$N$7:$N$1000,'Auditoria Documental'!$A$7:$A$1000,A183)/SUMIFS('Auditoria Documental'!$M$7:$M$1000,'Auditoria Documental'!$A$7:$A$1000,A183),0))</f>
        <v>0</v>
      </c>
      <c r="M183" s="113">
        <f>IF(A183="","",COUNTIFS('Auditoria Documental'!$A$7:$A$1000,A183,'Auditoria Documental'!$J$7:$J$1000,3,'Auditoria Documental'!$K$7:$K$1000,"Não conforme"))</f>
        <v>0</v>
      </c>
      <c r="N183" s="114">
        <f>IF(A183="","",IFERROR(COUNTIFS('Auditoria Documental'!$A$7:$A$1000,A183,'Auditoria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83" s="102"/>
    </row>
    <row r="184" ht="14.25" customHeight="1">
      <c r="A184" s="106" t="s">
        <v>2728</v>
      </c>
      <c r="B184" s="39" t="s">
        <v>1824</v>
      </c>
      <c r="C184" s="102" t="str">
        <f t="array" ref="C184">IF(B184="","",IFERROR(INDEX('Cadastro Unidades'!$A$6:$A$222,MATCH(B184,'Cadastro Unidades'!$E$6:$E$222,0)),""))</f>
        <v>DAOUT</v>
      </c>
      <c r="D184" s="102"/>
      <c r="E184" s="102"/>
      <c r="F184" s="112"/>
      <c r="G184" s="112"/>
      <c r="H184" s="102"/>
      <c r="I184" s="102"/>
      <c r="J184" s="113">
        <f>IF(A184="","",COUNTIF('Auditoria Documental'!$A$7:$A$1000,A184))</f>
        <v>0</v>
      </c>
      <c r="K184" s="113">
        <f>IF(A184="","",COUNTIFS('Auditoria Documental'!$A$7:$A$1000,A184,'Auditoria Documental'!$K$7:$K$1000,"&lt;&gt;Não avaliado",'Auditoria Documental'!$K$7:$K$1000,"&lt;&gt;"))</f>
        <v>0</v>
      </c>
      <c r="L184" s="114">
        <f>IF(A184="","",IFERROR(SUMIFS('Auditoria Documental'!$N$7:$N$1000,'Auditoria Documental'!$A$7:$A$1000,A184)/SUMIFS('Auditoria Documental'!$M$7:$M$1000,'Auditoria Documental'!$A$7:$A$1000,A184),0))</f>
        <v>0</v>
      </c>
      <c r="M184" s="113">
        <f>IF(A184="","",COUNTIFS('Auditoria Documental'!$A$7:$A$1000,A184,'Auditoria Documental'!$J$7:$J$1000,3,'Auditoria Documental'!$K$7:$K$1000,"Não conforme"))</f>
        <v>0</v>
      </c>
      <c r="N184" s="114">
        <f>IF(A184="","",IFERROR(COUNTIFS('Auditoria Documental'!$A$7:$A$1000,A184,'Auditoria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84" s="102"/>
    </row>
    <row r="185" ht="14.25" customHeight="1">
      <c r="A185" s="106" t="s">
        <v>2729</v>
      </c>
      <c r="B185" s="39" t="s">
        <v>1827</v>
      </c>
      <c r="C185" s="102" t="str">
        <f t="array" ref="C185">IF(B185="","",IFERROR(INDEX('Cadastro Unidades'!$A$6:$A$222,MATCH(B185,'Cadastro Unidades'!$E$6:$E$222,0)),""))</f>
        <v>DAOUT</v>
      </c>
      <c r="D185" s="102"/>
      <c r="E185" s="102"/>
      <c r="F185" s="112"/>
      <c r="G185" s="112"/>
      <c r="H185" s="102"/>
      <c r="I185" s="102"/>
      <c r="J185" s="113">
        <f>IF(A185="","",COUNTIF('Auditoria Documental'!$A$7:$A$1000,A185))</f>
        <v>0</v>
      </c>
      <c r="K185" s="113">
        <f>IF(A185="","",COUNTIFS('Auditoria Documental'!$A$7:$A$1000,A185,'Auditoria Documental'!$K$7:$K$1000,"&lt;&gt;Não avaliado",'Auditoria Documental'!$K$7:$K$1000,"&lt;&gt;"))</f>
        <v>0</v>
      </c>
      <c r="L185" s="114">
        <f>IF(A185="","",IFERROR(SUMIFS('Auditoria Documental'!$N$7:$N$1000,'Auditoria Documental'!$A$7:$A$1000,A185)/SUMIFS('Auditoria Documental'!$M$7:$M$1000,'Auditoria Documental'!$A$7:$A$1000,A185),0))</f>
        <v>0</v>
      </c>
      <c r="M185" s="113">
        <f>IF(A185="","",COUNTIFS('Auditoria Documental'!$A$7:$A$1000,A185,'Auditoria Documental'!$J$7:$J$1000,3,'Auditoria Documental'!$K$7:$K$1000,"Não conforme"))</f>
        <v>0</v>
      </c>
      <c r="N185" s="114">
        <f>IF(A185="","",IFERROR(COUNTIFS('Auditoria Documental'!$A$7:$A$1000,A185,'Auditoria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85" s="102"/>
    </row>
    <row r="186" ht="14.25" customHeight="1">
      <c r="A186" s="106" t="s">
        <v>2730</v>
      </c>
      <c r="B186" s="39" t="s">
        <v>1834</v>
      </c>
      <c r="C186" s="102" t="str">
        <f t="array" ref="C186">IF(B186="","",IFERROR(INDEX('Cadastro Unidades'!$A$6:$A$222,MATCH(B186,'Cadastro Unidades'!$E$6:$E$222,0)),""))</f>
        <v>DAOUT</v>
      </c>
      <c r="D186" s="102"/>
      <c r="E186" s="102"/>
      <c r="F186" s="112"/>
      <c r="G186" s="112"/>
      <c r="H186" s="102"/>
      <c r="I186" s="102"/>
      <c r="J186" s="113">
        <f>IF(A186="","",COUNTIF('Auditoria Documental'!$A$7:$A$1000,A186))</f>
        <v>0</v>
      </c>
      <c r="K186" s="113">
        <f>IF(A186="","",COUNTIFS('Auditoria Documental'!$A$7:$A$1000,A186,'Auditoria Documental'!$K$7:$K$1000,"&lt;&gt;Não avaliado",'Auditoria Documental'!$K$7:$K$1000,"&lt;&gt;"))</f>
        <v>0</v>
      </c>
      <c r="L186" s="114">
        <f>IF(A186="","",IFERROR(SUMIFS('Auditoria Documental'!$N$7:$N$1000,'Auditoria Documental'!$A$7:$A$1000,A186)/SUMIFS('Auditoria Documental'!$M$7:$M$1000,'Auditoria Documental'!$A$7:$A$1000,A186),0))</f>
        <v>0</v>
      </c>
      <c r="M186" s="113">
        <f>IF(A186="","",COUNTIFS('Auditoria Documental'!$A$7:$A$1000,A186,'Auditoria Documental'!$J$7:$J$1000,3,'Auditoria Documental'!$K$7:$K$1000,"Não conforme"))</f>
        <v>0</v>
      </c>
      <c r="N186" s="114">
        <f>IF(A186="","",IFERROR(COUNTIFS('Auditoria Documental'!$A$7:$A$1000,A186,'Auditoria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86" s="102"/>
    </row>
    <row r="187" ht="14.25" customHeight="1">
      <c r="A187" s="106" t="s">
        <v>2731</v>
      </c>
      <c r="B187" s="39" t="s">
        <v>1841</v>
      </c>
      <c r="C187" s="102" t="str">
        <f t="array" ref="C187">IF(B187="","",IFERROR(INDEX('Cadastro Unidades'!$A$6:$A$222,MATCH(B187,'Cadastro Unidades'!$E$6:$E$222,0)),""))</f>
        <v>DAOUT</v>
      </c>
      <c r="D187" s="102"/>
      <c r="E187" s="102"/>
      <c r="F187" s="112"/>
      <c r="G187" s="112"/>
      <c r="H187" s="102"/>
      <c r="I187" s="102"/>
      <c r="J187" s="113">
        <f>IF(A187="","",COUNTIF('Auditoria Documental'!$A$7:$A$1000,A187))</f>
        <v>0</v>
      </c>
      <c r="K187" s="113">
        <f>IF(A187="","",COUNTIFS('Auditoria Documental'!$A$7:$A$1000,A187,'Auditoria Documental'!$K$7:$K$1000,"&lt;&gt;Não avaliado",'Auditoria Documental'!$K$7:$K$1000,"&lt;&gt;"))</f>
        <v>0</v>
      </c>
      <c r="L187" s="114">
        <f>IF(A187="","",IFERROR(SUMIFS('Auditoria Documental'!$N$7:$N$1000,'Auditoria Documental'!$A$7:$A$1000,A187)/SUMIFS('Auditoria Documental'!$M$7:$M$1000,'Auditoria Documental'!$A$7:$A$1000,A187),0))</f>
        <v>0</v>
      </c>
      <c r="M187" s="113">
        <f>IF(A187="","",COUNTIFS('Auditoria Documental'!$A$7:$A$1000,A187,'Auditoria Documental'!$J$7:$J$1000,3,'Auditoria Documental'!$K$7:$K$1000,"Não conforme"))</f>
        <v>0</v>
      </c>
      <c r="N187" s="114">
        <f>IF(A187="","",IFERROR(COUNTIFS('Auditoria Documental'!$A$7:$A$1000,A187,'Auditoria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87" s="102"/>
    </row>
    <row r="188" ht="14.25" customHeight="1">
      <c r="A188" s="106" t="s">
        <v>2732</v>
      </c>
      <c r="B188" s="39" t="s">
        <v>1849</v>
      </c>
      <c r="C188" s="102" t="str">
        <f t="array" ref="C188">IF(B188="","",IFERROR(INDEX('Cadastro Unidades'!$A$6:$A$222,MATCH(B188,'Cadastro Unidades'!$E$6:$E$222,0)),""))</f>
        <v>DAOUT</v>
      </c>
      <c r="D188" s="102"/>
      <c r="E188" s="102"/>
      <c r="F188" s="112"/>
      <c r="G188" s="112"/>
      <c r="H188" s="102"/>
      <c r="I188" s="102"/>
      <c r="J188" s="113">
        <f>IF(A188="","",COUNTIF('Auditoria Documental'!$A$7:$A$1000,A188))</f>
        <v>0</v>
      </c>
      <c r="K188" s="113">
        <f>IF(A188="","",COUNTIFS('Auditoria Documental'!$A$7:$A$1000,A188,'Auditoria Documental'!$K$7:$K$1000,"&lt;&gt;Não avaliado",'Auditoria Documental'!$K$7:$K$1000,"&lt;&gt;"))</f>
        <v>0</v>
      </c>
      <c r="L188" s="114">
        <f>IF(A188="","",IFERROR(SUMIFS('Auditoria Documental'!$N$7:$N$1000,'Auditoria Documental'!$A$7:$A$1000,A188)/SUMIFS('Auditoria Documental'!$M$7:$M$1000,'Auditoria Documental'!$A$7:$A$1000,A188),0))</f>
        <v>0</v>
      </c>
      <c r="M188" s="113">
        <f>IF(A188="","",COUNTIFS('Auditoria Documental'!$A$7:$A$1000,A188,'Auditoria Documental'!$J$7:$J$1000,3,'Auditoria Documental'!$K$7:$K$1000,"Não conforme"))</f>
        <v>0</v>
      </c>
      <c r="N188" s="114">
        <f>IF(A188="","",IFERROR(COUNTIFS('Auditoria Documental'!$A$7:$A$1000,A188,'Auditoria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88" s="102"/>
    </row>
    <row r="189" ht="14.25" customHeight="1">
      <c r="A189" s="106" t="s">
        <v>2733</v>
      </c>
      <c r="B189" s="39" t="s">
        <v>1854</v>
      </c>
      <c r="C189" s="102" t="str">
        <f t="array" ref="C189">IF(B189="","",IFERROR(INDEX('Cadastro Unidades'!$A$6:$A$222,MATCH(B189,'Cadastro Unidades'!$E$6:$E$222,0)),""))</f>
        <v>DAOUT</v>
      </c>
      <c r="D189" s="102"/>
      <c r="E189" s="102"/>
      <c r="F189" s="112"/>
      <c r="G189" s="112"/>
      <c r="H189" s="102"/>
      <c r="I189" s="102"/>
      <c r="J189" s="113">
        <f>IF(A189="","",COUNTIF('Auditoria Documental'!$A$7:$A$1000,A189))</f>
        <v>0</v>
      </c>
      <c r="K189" s="113">
        <f>IF(A189="","",COUNTIFS('Auditoria Documental'!$A$7:$A$1000,A189,'Auditoria Documental'!$K$7:$K$1000,"&lt;&gt;Não avaliado",'Auditoria Documental'!$K$7:$K$1000,"&lt;&gt;"))</f>
        <v>0</v>
      </c>
      <c r="L189" s="114">
        <f>IF(A189="","",IFERROR(SUMIFS('Auditoria Documental'!$N$7:$N$1000,'Auditoria Documental'!$A$7:$A$1000,A189)/SUMIFS('Auditoria Documental'!$M$7:$M$1000,'Auditoria Documental'!$A$7:$A$1000,A189),0))</f>
        <v>0</v>
      </c>
      <c r="M189" s="113">
        <f>IF(A189="","",COUNTIFS('Auditoria Documental'!$A$7:$A$1000,A189,'Auditoria Documental'!$J$7:$J$1000,3,'Auditoria Documental'!$K$7:$K$1000,"Não conforme"))</f>
        <v>0</v>
      </c>
      <c r="N189" s="114">
        <f>IF(A189="","",IFERROR(COUNTIFS('Auditoria Documental'!$A$7:$A$1000,A189,'Auditoria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89" s="102"/>
    </row>
    <row r="190" ht="14.25" customHeight="1">
      <c r="A190" s="106" t="s">
        <v>2734</v>
      </c>
      <c r="B190" s="39" t="s">
        <v>1864</v>
      </c>
      <c r="C190" s="102" t="str">
        <f t="array" ref="C190">IF(B190="","",IFERROR(INDEX('Cadastro Unidades'!$A$6:$A$222,MATCH(B190,'Cadastro Unidades'!$E$6:$E$222,0)),""))</f>
        <v>DAOUT</v>
      </c>
      <c r="D190" s="102"/>
      <c r="E190" s="102"/>
      <c r="F190" s="112"/>
      <c r="G190" s="112"/>
      <c r="H190" s="102"/>
      <c r="I190" s="102"/>
      <c r="J190" s="113">
        <f>IF(A190="","",COUNTIF('Auditoria Documental'!$A$7:$A$1000,A190))</f>
        <v>0</v>
      </c>
      <c r="K190" s="113">
        <f>IF(A190="","",COUNTIFS('Auditoria Documental'!$A$7:$A$1000,A190,'Auditoria Documental'!$K$7:$K$1000,"&lt;&gt;Não avaliado",'Auditoria Documental'!$K$7:$K$1000,"&lt;&gt;"))</f>
        <v>0</v>
      </c>
      <c r="L190" s="114">
        <f>IF(A190="","",IFERROR(SUMIFS('Auditoria Documental'!$N$7:$N$1000,'Auditoria Documental'!$A$7:$A$1000,A190)/SUMIFS('Auditoria Documental'!$M$7:$M$1000,'Auditoria Documental'!$A$7:$A$1000,A190),0))</f>
        <v>0</v>
      </c>
      <c r="M190" s="113">
        <f>IF(A190="","",COUNTIFS('Auditoria Documental'!$A$7:$A$1000,A190,'Auditoria Documental'!$J$7:$J$1000,3,'Auditoria Documental'!$K$7:$K$1000,"Não conforme"))</f>
        <v>0</v>
      </c>
      <c r="N190" s="114">
        <f>IF(A190="","",IFERROR(COUNTIFS('Auditoria Documental'!$A$7:$A$1000,A190,'Auditoria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90" s="102"/>
    </row>
    <row r="191" ht="14.25" customHeight="1">
      <c r="A191" s="106" t="s">
        <v>2735</v>
      </c>
      <c r="B191" s="39" t="s">
        <v>1869</v>
      </c>
      <c r="C191" s="102" t="str">
        <f t="array" ref="C191">IF(B191="","",IFERROR(INDEX('Cadastro Unidades'!$A$6:$A$222,MATCH(B191,'Cadastro Unidades'!$E$6:$E$222,0)),""))</f>
        <v>DAOUT</v>
      </c>
      <c r="D191" s="102"/>
      <c r="E191" s="102"/>
      <c r="F191" s="112"/>
      <c r="G191" s="112"/>
      <c r="H191" s="102"/>
      <c r="I191" s="102"/>
      <c r="J191" s="113">
        <f>IF(A191="","",COUNTIF('Auditoria Documental'!$A$7:$A$1000,A191))</f>
        <v>0</v>
      </c>
      <c r="K191" s="113">
        <f>IF(A191="","",COUNTIFS('Auditoria Documental'!$A$7:$A$1000,A191,'Auditoria Documental'!$K$7:$K$1000,"&lt;&gt;Não avaliado",'Auditoria Documental'!$K$7:$K$1000,"&lt;&gt;"))</f>
        <v>0</v>
      </c>
      <c r="L191" s="114">
        <f>IF(A191="","",IFERROR(SUMIFS('Auditoria Documental'!$N$7:$N$1000,'Auditoria Documental'!$A$7:$A$1000,A191)/SUMIFS('Auditoria Documental'!$M$7:$M$1000,'Auditoria Documental'!$A$7:$A$1000,A191),0))</f>
        <v>0</v>
      </c>
      <c r="M191" s="113">
        <f>IF(A191="","",COUNTIFS('Auditoria Documental'!$A$7:$A$1000,A191,'Auditoria Documental'!$J$7:$J$1000,3,'Auditoria Documental'!$K$7:$K$1000,"Não conforme"))</f>
        <v>0</v>
      </c>
      <c r="N191" s="114">
        <f>IF(A191="","",IFERROR(COUNTIFS('Auditoria Documental'!$A$7:$A$1000,A191,'Auditoria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91" s="102"/>
    </row>
    <row r="192" ht="14.25" customHeight="1">
      <c r="A192" s="106" t="s">
        <v>2736</v>
      </c>
      <c r="B192" s="39" t="s">
        <v>1881</v>
      </c>
      <c r="C192" s="102" t="str">
        <f t="array" ref="C192">IF(B192="","",IFERROR(INDEX('Cadastro Unidades'!$A$6:$A$222,MATCH(B192,'Cadastro Unidades'!$E$6:$E$222,0)),""))</f>
        <v>DAOUT</v>
      </c>
      <c r="D192" s="102"/>
      <c r="E192" s="102"/>
      <c r="F192" s="112"/>
      <c r="G192" s="112"/>
      <c r="H192" s="102"/>
      <c r="I192" s="102"/>
      <c r="J192" s="113">
        <f>IF(A192="","",COUNTIF('Auditoria Documental'!$A$7:$A$1000,A192))</f>
        <v>0</v>
      </c>
      <c r="K192" s="113">
        <f>IF(A192="","",COUNTIFS('Auditoria Documental'!$A$7:$A$1000,A192,'Auditoria Documental'!$K$7:$K$1000,"&lt;&gt;Não avaliado",'Auditoria Documental'!$K$7:$K$1000,"&lt;&gt;"))</f>
        <v>0</v>
      </c>
      <c r="L192" s="114">
        <f>IF(A192="","",IFERROR(SUMIFS('Auditoria Documental'!$N$7:$N$1000,'Auditoria Documental'!$A$7:$A$1000,A192)/SUMIFS('Auditoria Documental'!$M$7:$M$1000,'Auditoria Documental'!$A$7:$A$1000,A192),0))</f>
        <v>0</v>
      </c>
      <c r="M192" s="113">
        <f>IF(A192="","",COUNTIFS('Auditoria Documental'!$A$7:$A$1000,A192,'Auditoria Documental'!$J$7:$J$1000,3,'Auditoria Documental'!$K$7:$K$1000,"Não conforme"))</f>
        <v>0</v>
      </c>
      <c r="N192" s="114">
        <f>IF(A192="","",IFERROR(COUNTIFS('Auditoria Documental'!$A$7:$A$1000,A192,'Auditoria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92" s="102"/>
    </row>
    <row r="193" ht="14.25" customHeight="1">
      <c r="A193" s="106" t="s">
        <v>2737</v>
      </c>
      <c r="B193" s="39" t="s">
        <v>1885</v>
      </c>
      <c r="C193" s="102" t="str">
        <f t="array" ref="C193">IF(B193="","",IFERROR(INDEX('Cadastro Unidades'!$A$6:$A$222,MATCH(B193,'Cadastro Unidades'!$E$6:$E$222,0)),""))</f>
        <v>DAOUT</v>
      </c>
      <c r="D193" s="102"/>
      <c r="E193" s="102"/>
      <c r="F193" s="112"/>
      <c r="G193" s="112"/>
      <c r="H193" s="102"/>
      <c r="I193" s="102"/>
      <c r="J193" s="113">
        <f>IF(A193="","",COUNTIF('Auditoria Documental'!$A$7:$A$1000,A193))</f>
        <v>0</v>
      </c>
      <c r="K193" s="113">
        <f>IF(A193="","",COUNTIFS('Auditoria Documental'!$A$7:$A$1000,A193,'Auditoria Documental'!$K$7:$K$1000,"&lt;&gt;Não avaliado",'Auditoria Documental'!$K$7:$K$1000,"&lt;&gt;"))</f>
        <v>0</v>
      </c>
      <c r="L193" s="114">
        <f>IF(A193="","",IFERROR(SUMIFS('Auditoria Documental'!$N$7:$N$1000,'Auditoria Documental'!$A$7:$A$1000,A193)/SUMIFS('Auditoria Documental'!$M$7:$M$1000,'Auditoria Documental'!$A$7:$A$1000,A193),0))</f>
        <v>0</v>
      </c>
      <c r="M193" s="113">
        <f>IF(A193="","",COUNTIFS('Auditoria Documental'!$A$7:$A$1000,A193,'Auditoria Documental'!$J$7:$J$1000,3,'Auditoria Documental'!$K$7:$K$1000,"Não conforme"))</f>
        <v>0</v>
      </c>
      <c r="N193" s="114">
        <f>IF(A193="","",IFERROR(COUNTIFS('Auditoria Documental'!$A$7:$A$1000,A193,'Auditoria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93" s="102"/>
    </row>
    <row r="194" ht="14.25" customHeight="1">
      <c r="A194" s="106" t="s">
        <v>2738</v>
      </c>
      <c r="B194" s="39" t="s">
        <v>1890</v>
      </c>
      <c r="C194" s="102" t="str">
        <f t="array" ref="C194">IF(B194="","",IFERROR(INDEX('Cadastro Unidades'!$A$6:$A$222,MATCH(B194,'Cadastro Unidades'!$E$6:$E$222,0)),""))</f>
        <v>DAOUT</v>
      </c>
      <c r="D194" s="102"/>
      <c r="E194" s="102"/>
      <c r="F194" s="112"/>
      <c r="G194" s="112"/>
      <c r="H194" s="102"/>
      <c r="I194" s="102"/>
      <c r="J194" s="113">
        <f>IF(A194="","",COUNTIF('Auditoria Documental'!$A$7:$A$1000,A194))</f>
        <v>0</v>
      </c>
      <c r="K194" s="113">
        <f>IF(A194="","",COUNTIFS('Auditoria Documental'!$A$7:$A$1000,A194,'Auditoria Documental'!$K$7:$K$1000,"&lt;&gt;Não avaliado",'Auditoria Documental'!$K$7:$K$1000,"&lt;&gt;"))</f>
        <v>0</v>
      </c>
      <c r="L194" s="114">
        <f>IF(A194="","",IFERROR(SUMIFS('Auditoria Documental'!$N$7:$N$1000,'Auditoria Documental'!$A$7:$A$1000,A194)/SUMIFS('Auditoria Documental'!$M$7:$M$1000,'Auditoria Documental'!$A$7:$A$1000,A194),0))</f>
        <v>0</v>
      </c>
      <c r="M194" s="113">
        <f>IF(A194="","",COUNTIFS('Auditoria Documental'!$A$7:$A$1000,A194,'Auditoria Documental'!$J$7:$J$1000,3,'Auditoria Documental'!$K$7:$K$1000,"Não conforme"))</f>
        <v>0</v>
      </c>
      <c r="N194" s="114">
        <f>IF(A194="","",IFERROR(COUNTIFS('Auditoria Documental'!$A$7:$A$1000,A194,'Auditoria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94" s="102"/>
    </row>
    <row r="195" ht="14.25" customHeight="1">
      <c r="A195" s="106" t="s">
        <v>2739</v>
      </c>
      <c r="B195" s="39" t="s">
        <v>1902</v>
      </c>
      <c r="C195" s="102" t="str">
        <f t="array" ref="C195">IF(B195="","",IFERROR(INDEX('Cadastro Unidades'!$A$6:$A$222,MATCH(B195,'Cadastro Unidades'!$E$6:$E$222,0)),""))</f>
        <v>DAOUT</v>
      </c>
      <c r="D195" s="102"/>
      <c r="E195" s="102"/>
      <c r="F195" s="112"/>
      <c r="G195" s="112"/>
      <c r="H195" s="102"/>
      <c r="I195" s="102"/>
      <c r="J195" s="113">
        <f>IF(A195="","",COUNTIF('Auditoria Documental'!$A$7:$A$1000,A195))</f>
        <v>0</v>
      </c>
      <c r="K195" s="113">
        <f>IF(A195="","",COUNTIFS('Auditoria Documental'!$A$7:$A$1000,A195,'Auditoria Documental'!$K$7:$K$1000,"&lt;&gt;Não avaliado",'Auditoria Documental'!$K$7:$K$1000,"&lt;&gt;"))</f>
        <v>0</v>
      </c>
      <c r="L195" s="114">
        <f>IF(A195="","",IFERROR(SUMIFS('Auditoria Documental'!$N$7:$N$1000,'Auditoria Documental'!$A$7:$A$1000,A195)/SUMIFS('Auditoria Documental'!$M$7:$M$1000,'Auditoria Documental'!$A$7:$A$1000,A195),0))</f>
        <v>0</v>
      </c>
      <c r="M195" s="113">
        <f>IF(A195="","",COUNTIFS('Auditoria Documental'!$A$7:$A$1000,A195,'Auditoria Documental'!$J$7:$J$1000,3,'Auditoria Documental'!$K$7:$K$1000,"Não conforme"))</f>
        <v>0</v>
      </c>
      <c r="N195" s="114">
        <f>IF(A195="","",IFERROR(COUNTIFS('Auditoria Documental'!$A$7:$A$1000,A195,'Auditoria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95" s="102"/>
    </row>
    <row r="196" ht="14.25" customHeight="1">
      <c r="A196" s="106" t="s">
        <v>2740</v>
      </c>
      <c r="B196" s="39" t="s">
        <v>1910</v>
      </c>
      <c r="C196" s="102" t="str">
        <f t="array" ref="C196">IF(B196="","",IFERROR(INDEX('Cadastro Unidades'!$A$6:$A$222,MATCH(B196,'Cadastro Unidades'!$E$6:$E$222,0)),""))</f>
        <v>DAOUT</v>
      </c>
      <c r="D196" s="102"/>
      <c r="E196" s="102"/>
      <c r="F196" s="112"/>
      <c r="G196" s="112"/>
      <c r="H196" s="102"/>
      <c r="I196" s="102"/>
      <c r="J196" s="113">
        <f>IF(A196="","",COUNTIF('Auditoria Documental'!$A$7:$A$1000,A196))</f>
        <v>0</v>
      </c>
      <c r="K196" s="113">
        <f>IF(A196="","",COUNTIFS('Auditoria Documental'!$A$7:$A$1000,A196,'Auditoria Documental'!$K$7:$K$1000,"&lt;&gt;Não avaliado",'Auditoria Documental'!$K$7:$K$1000,"&lt;&gt;"))</f>
        <v>0</v>
      </c>
      <c r="L196" s="114">
        <f>IF(A196="","",IFERROR(SUMIFS('Auditoria Documental'!$N$7:$N$1000,'Auditoria Documental'!$A$7:$A$1000,A196)/SUMIFS('Auditoria Documental'!$M$7:$M$1000,'Auditoria Documental'!$A$7:$A$1000,A196),0))</f>
        <v>0</v>
      </c>
      <c r="M196" s="113">
        <f>IF(A196="","",COUNTIFS('Auditoria Documental'!$A$7:$A$1000,A196,'Auditoria Documental'!$J$7:$J$1000,3,'Auditoria Documental'!$K$7:$K$1000,"Não conforme"))</f>
        <v>0</v>
      </c>
      <c r="N196" s="114">
        <f>IF(A196="","",IFERROR(COUNTIFS('Auditoria Documental'!$A$7:$A$1000,A196,'Auditoria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96" s="102"/>
    </row>
    <row r="197" ht="14.25" customHeight="1">
      <c r="A197" s="106" t="s">
        <v>2741</v>
      </c>
      <c r="B197" s="39" t="s">
        <v>1920</v>
      </c>
      <c r="C197" s="102" t="str">
        <f t="array" ref="C197">IF(B197="","",IFERROR(INDEX('Cadastro Unidades'!$A$6:$A$222,MATCH(B197,'Cadastro Unidades'!$E$6:$E$222,0)),""))</f>
        <v>DAOUT</v>
      </c>
      <c r="D197" s="102"/>
      <c r="E197" s="102"/>
      <c r="F197" s="112"/>
      <c r="G197" s="112"/>
      <c r="H197" s="102"/>
      <c r="I197" s="102"/>
      <c r="J197" s="113">
        <f>IF(A197="","",COUNTIF('Auditoria Documental'!$A$7:$A$1000,A197))</f>
        <v>0</v>
      </c>
      <c r="K197" s="113">
        <f>IF(A197="","",COUNTIFS('Auditoria Documental'!$A$7:$A$1000,A197,'Auditoria Documental'!$K$7:$K$1000,"&lt;&gt;Não avaliado",'Auditoria Documental'!$K$7:$K$1000,"&lt;&gt;"))</f>
        <v>0</v>
      </c>
      <c r="L197" s="114">
        <f>IF(A197="","",IFERROR(SUMIFS('Auditoria Documental'!$N$7:$N$1000,'Auditoria Documental'!$A$7:$A$1000,A197)/SUMIFS('Auditoria Documental'!$M$7:$M$1000,'Auditoria Documental'!$A$7:$A$1000,A197),0))</f>
        <v>0</v>
      </c>
      <c r="M197" s="113">
        <f>IF(A197="","",COUNTIFS('Auditoria Documental'!$A$7:$A$1000,A197,'Auditoria Documental'!$J$7:$J$1000,3,'Auditoria Documental'!$K$7:$K$1000,"Não conforme"))</f>
        <v>0</v>
      </c>
      <c r="N197" s="114">
        <f>IF(A197="","",IFERROR(COUNTIFS('Auditoria Documental'!$A$7:$A$1000,A197,'Auditoria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97" s="102"/>
    </row>
    <row r="198" ht="14.25" customHeight="1">
      <c r="A198" s="106" t="s">
        <v>2742</v>
      </c>
      <c r="B198" s="39" t="s">
        <v>1932</v>
      </c>
      <c r="C198" s="102" t="str">
        <f t="array" ref="C198">IF(B198="","",IFERROR(INDEX('Cadastro Unidades'!$A$6:$A$222,MATCH(B198,'Cadastro Unidades'!$E$6:$E$222,0)),""))</f>
        <v>DAOUT</v>
      </c>
      <c r="D198" s="102"/>
      <c r="E198" s="102"/>
      <c r="F198" s="112"/>
      <c r="G198" s="112"/>
      <c r="H198" s="102"/>
      <c r="I198" s="102"/>
      <c r="J198" s="113">
        <f>IF(A198="","",COUNTIF('Auditoria Documental'!$A$7:$A$1000,A198))</f>
        <v>0</v>
      </c>
      <c r="K198" s="113">
        <f>IF(A198="","",COUNTIFS('Auditoria Documental'!$A$7:$A$1000,A198,'Auditoria Documental'!$K$7:$K$1000,"&lt;&gt;Não avaliado",'Auditoria Documental'!$K$7:$K$1000,"&lt;&gt;"))</f>
        <v>0</v>
      </c>
      <c r="L198" s="114">
        <f>IF(A198="","",IFERROR(SUMIFS('Auditoria Documental'!$N$7:$N$1000,'Auditoria Documental'!$A$7:$A$1000,A198)/SUMIFS('Auditoria Documental'!$M$7:$M$1000,'Auditoria Documental'!$A$7:$A$1000,A198),0))</f>
        <v>0</v>
      </c>
      <c r="M198" s="113">
        <f>IF(A198="","",COUNTIFS('Auditoria Documental'!$A$7:$A$1000,A198,'Auditoria Documental'!$J$7:$J$1000,3,'Auditoria Documental'!$K$7:$K$1000,"Não conforme"))</f>
        <v>0</v>
      </c>
      <c r="N198" s="114">
        <f>IF(A198="","",IFERROR(COUNTIFS('Auditoria Documental'!$A$7:$A$1000,A198,'Auditoria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98" s="102"/>
    </row>
    <row r="199" ht="14.25" customHeight="1">
      <c r="A199" s="106" t="s">
        <v>2743</v>
      </c>
      <c r="B199" s="39" t="s">
        <v>1944</v>
      </c>
      <c r="C199" s="102" t="str">
        <f t="array" ref="C199">IF(B199="","",IFERROR(INDEX('Cadastro Unidades'!$A$6:$A$222,MATCH(B199,'Cadastro Unidades'!$E$6:$E$222,0)),""))</f>
        <v>DAOUT</v>
      </c>
      <c r="D199" s="102"/>
      <c r="E199" s="102"/>
      <c r="F199" s="112"/>
      <c r="G199" s="112"/>
      <c r="H199" s="102"/>
      <c r="I199" s="102"/>
      <c r="J199" s="113">
        <f>IF(A199="","",COUNTIF('Auditoria Documental'!$A$7:$A$1000,A199))</f>
        <v>0</v>
      </c>
      <c r="K199" s="113">
        <f>IF(A199="","",COUNTIFS('Auditoria Documental'!$A$7:$A$1000,A199,'Auditoria Documental'!$K$7:$K$1000,"&lt;&gt;Não avaliado",'Auditoria Documental'!$K$7:$K$1000,"&lt;&gt;"))</f>
        <v>0</v>
      </c>
      <c r="L199" s="114">
        <f>IF(A199="","",IFERROR(SUMIFS('Auditoria Documental'!$N$7:$N$1000,'Auditoria Documental'!$A$7:$A$1000,A199)/SUMIFS('Auditoria Documental'!$M$7:$M$1000,'Auditoria Documental'!$A$7:$A$1000,A199),0))</f>
        <v>0</v>
      </c>
      <c r="M199" s="113">
        <f>IF(A199="","",COUNTIFS('Auditoria Documental'!$A$7:$A$1000,A199,'Auditoria Documental'!$J$7:$J$1000,3,'Auditoria Documental'!$K$7:$K$1000,"Não conforme"))</f>
        <v>0</v>
      </c>
      <c r="N199" s="114">
        <f>IF(A199="","",IFERROR(COUNTIFS('Auditoria Documental'!$A$7:$A$1000,A199,'Auditoria Documental'!$G$7:$G$1000,"7. Checklist da visita",'Auditoria Documental'!$K$7:$K$1000,"&lt;&gt;Não avaliado",'Auditoria Documental'!$K$7:$K$1000,"&lt;&gt;")/COUNTIF('Lista Mestra'!$B$7:$B$59,"7. Checklist da visita"),0))</f>
        <v>0</v>
      </c>
      <c r="O199" s="102"/>
    </row>
    <row r="200" ht="14.25" customHeight="1">
      <c r="A200" s="106" t="s">
        <v>2744</v>
      </c>
      <c r="B200" s="39" t="s">
        <v>1949</v>
      </c>
      <c r="C200" s="102" t="str">
        <f t="array" ref="C200">IF(B200="","",IFERROR(INDEX('Cadastro Unidades'!$A$6:$A$222,MATCH(B200,'Cadastro Unidades'!$E$6:$E$222,0)),""))</f>
        <v>DAOUT</v>
      </c>
      <c r="D200" s="102"/>
      <c r="E200" s="102"/>
      <c r="F200" s="112"/>
      <c r="G200" s="112"/>
      <c r="H200" s="102"/>
      <c r="I200" s="102"/>
      <c r="J200" s="113">
        <f>IF(A200="","",COUNTIF('Auditoria Documental'!$A$7:$A$1000,A200))</f>
        <v>0</v>
      </c>
      <c r="K200" s="113">
        <f>IF(A200="","",COUNTIFS('Auditoria Documental'!$A$7:$A$1000,A200,'Auditoria Documental'!$K$7:$K$1000,"&lt;&gt;Não avaliado",'Auditoria Documental'!$K$7:$K$1000,"&lt;&gt;"))</f>
        <v>0</v>
      </c>
      <c r="L200" s="114">
        <f>IF(A200="","",IFERROR(SUMIFS('Auditoria Documental'!$N$7:$N$1000,'Auditoria Documental'!$A$7:$A$1000,A200)/SUMIFS('Auditoria Documental'!$M$7:$M$1000,'Auditoria Documental'!$A$7:$A$1000,A200),0))</f>
        <v>0</v>
      </c>
      <c r="M200" s="113">
        <f>IF(A200="","",COUNTIFS('Auditoria Documental'!$A$7:$A$1000,A200,'Auditoria Documental'!$J$7:$J$1000,3,'Auditoria Documental'!$K$7:$K$1000,"Não conforme"))</f>
        <v>0</v>
      </c>
      <c r="N200" s="114">
        <f>IF(A200="","",IFERROR(COUNTIFS('Auditoria Documental'!$A$7:$A$1000,A200,'Auditoria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00" s="102"/>
    </row>
    <row r="201" ht="14.25" customHeight="1">
      <c r="A201" s="106" t="s">
        <v>2745</v>
      </c>
      <c r="B201" s="39" t="s">
        <v>1963</v>
      </c>
      <c r="C201" s="102" t="str">
        <f t="array" ref="C201">IF(B201="","",IFERROR(INDEX('Cadastro Unidades'!$A$6:$A$222,MATCH(B201,'Cadastro Unidades'!$E$6:$E$222,0)),""))</f>
        <v>DASAC</v>
      </c>
      <c r="D201" s="102"/>
      <c r="E201" s="102"/>
      <c r="F201" s="112"/>
      <c r="G201" s="112"/>
      <c r="H201" s="102"/>
      <c r="I201" s="102"/>
      <c r="J201" s="113">
        <f>IF(A201="","",COUNTIF('Auditoria Documental'!$A$7:$A$1000,A201))</f>
        <v>0</v>
      </c>
      <c r="K201" s="113">
        <f>IF(A201="","",COUNTIFS('Auditoria Documental'!$A$7:$A$1000,A201,'Auditoria Documental'!$K$7:$K$1000,"&lt;&gt;Não avaliado",'Auditoria Documental'!$K$7:$K$1000,"&lt;&gt;"))</f>
        <v>0</v>
      </c>
      <c r="L201" s="114">
        <f>IF(A201="","",IFERROR(SUMIFS('Auditoria Documental'!$N$7:$N$1000,'Auditoria Documental'!$A$7:$A$1000,A201)/SUMIFS('Auditoria Documental'!$M$7:$M$1000,'Auditoria Documental'!$A$7:$A$1000,A201),0))</f>
        <v>0</v>
      </c>
      <c r="M201" s="113">
        <f>IF(A201="","",COUNTIFS('Auditoria Documental'!$A$7:$A$1000,A201,'Auditoria Documental'!$J$7:$J$1000,3,'Auditoria Documental'!$K$7:$K$1000,"Não conforme"))</f>
        <v>0</v>
      </c>
      <c r="N201" s="114">
        <f>IF(A201="","",IFERROR(COUNTIFS('Auditoria Documental'!$A$7:$A$1000,A201,'Auditoria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01" s="102"/>
    </row>
    <row r="202" ht="14.25" customHeight="1">
      <c r="A202" s="106" t="s">
        <v>2746</v>
      </c>
      <c r="B202" s="39" t="s">
        <v>1976</v>
      </c>
      <c r="C202" s="102" t="str">
        <f t="array" ref="C202">IF(B202="","",IFERROR(INDEX('Cadastro Unidades'!$A$6:$A$222,MATCH(B202,'Cadastro Unidades'!$E$6:$E$222,0)),""))</f>
        <v>DASAC</v>
      </c>
      <c r="D202" s="102"/>
      <c r="E202" s="102"/>
      <c r="F202" s="112"/>
      <c r="G202" s="112"/>
      <c r="H202" s="102"/>
      <c r="I202" s="102"/>
      <c r="J202" s="113">
        <f>IF(A202="","",COUNTIF('Auditoria Documental'!$A$7:$A$1000,A202))</f>
        <v>0</v>
      </c>
      <c r="K202" s="113">
        <f>IF(A202="","",COUNTIFS('Auditoria Documental'!$A$7:$A$1000,A202,'Auditoria Documental'!$K$7:$K$1000,"&lt;&gt;Não avaliado",'Auditoria Documental'!$K$7:$K$1000,"&lt;&gt;"))</f>
        <v>0</v>
      </c>
      <c r="L202" s="114">
        <f>IF(A202="","",IFERROR(SUMIFS('Auditoria Documental'!$N$7:$N$1000,'Auditoria Documental'!$A$7:$A$1000,A202)/SUMIFS('Auditoria Documental'!$M$7:$M$1000,'Auditoria Documental'!$A$7:$A$1000,A202),0))</f>
        <v>0</v>
      </c>
      <c r="M202" s="113">
        <f>IF(A202="","",COUNTIFS('Auditoria Documental'!$A$7:$A$1000,A202,'Auditoria Documental'!$J$7:$J$1000,3,'Auditoria Documental'!$K$7:$K$1000,"Não conforme"))</f>
        <v>0</v>
      </c>
      <c r="N202" s="114">
        <f>IF(A202="","",IFERROR(COUNTIFS('Auditoria Documental'!$A$7:$A$1000,A202,'Auditoria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02" s="102"/>
    </row>
    <row r="203" ht="14.25" customHeight="1">
      <c r="A203" s="106" t="s">
        <v>2747</v>
      </c>
      <c r="B203" s="39" t="s">
        <v>1987</v>
      </c>
      <c r="C203" s="102" t="str">
        <f t="array" ref="C203">IF(B203="","",IFERROR(INDEX('Cadastro Unidades'!$A$6:$A$222,MATCH(B203,'Cadastro Unidades'!$E$6:$E$222,0)),""))</f>
        <v>DASAC</v>
      </c>
      <c r="D203" s="102"/>
      <c r="E203" s="102"/>
      <c r="F203" s="112"/>
      <c r="G203" s="112"/>
      <c r="H203" s="102"/>
      <c r="I203" s="102"/>
      <c r="J203" s="113">
        <f>IF(A203="","",COUNTIF('Auditoria Documental'!$A$7:$A$1000,A203))</f>
        <v>0</v>
      </c>
      <c r="K203" s="113">
        <f>IF(A203="","",COUNTIFS('Auditoria Documental'!$A$7:$A$1000,A203,'Auditoria Documental'!$K$7:$K$1000,"&lt;&gt;Não avaliado",'Auditoria Documental'!$K$7:$K$1000,"&lt;&gt;"))</f>
        <v>0</v>
      </c>
      <c r="L203" s="114">
        <f>IF(A203="","",IFERROR(SUMIFS('Auditoria Documental'!$N$7:$N$1000,'Auditoria Documental'!$A$7:$A$1000,A203)/SUMIFS('Auditoria Documental'!$M$7:$M$1000,'Auditoria Documental'!$A$7:$A$1000,A203),0))</f>
        <v>0</v>
      </c>
      <c r="M203" s="113">
        <f>IF(A203="","",COUNTIFS('Auditoria Documental'!$A$7:$A$1000,A203,'Auditoria Documental'!$J$7:$J$1000,3,'Auditoria Documental'!$K$7:$K$1000,"Não conforme"))</f>
        <v>0</v>
      </c>
      <c r="N203" s="114">
        <f>IF(A203="","",IFERROR(COUNTIFS('Auditoria Documental'!$A$7:$A$1000,A203,'Auditoria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03" s="102"/>
    </row>
    <row r="204" ht="14.25" customHeight="1">
      <c r="A204" s="106" t="s">
        <v>2748</v>
      </c>
      <c r="B204" s="39" t="s">
        <v>1993</v>
      </c>
      <c r="C204" s="102" t="str">
        <f t="array" ref="C204">IF(B204="","",IFERROR(INDEX('Cadastro Unidades'!$A$6:$A$222,MATCH(B204,'Cadastro Unidades'!$E$6:$E$222,0)),""))</f>
        <v>DASAC</v>
      </c>
      <c r="D204" s="102"/>
      <c r="E204" s="102"/>
      <c r="F204" s="112"/>
      <c r="G204" s="112"/>
      <c r="H204" s="102"/>
      <c r="I204" s="102"/>
      <c r="J204" s="113">
        <f>IF(A204="","",COUNTIF('Auditoria Documental'!$A$7:$A$1000,A204))</f>
        <v>0</v>
      </c>
      <c r="K204" s="113">
        <f>IF(A204="","",COUNTIFS('Auditoria Documental'!$A$7:$A$1000,A204,'Auditoria Documental'!$K$7:$K$1000,"&lt;&gt;Não avaliado",'Auditoria Documental'!$K$7:$K$1000,"&lt;&gt;"))</f>
        <v>0</v>
      </c>
      <c r="L204" s="114">
        <f>IF(A204="","",IFERROR(SUMIFS('Auditoria Documental'!$N$7:$N$1000,'Auditoria Documental'!$A$7:$A$1000,A204)/SUMIFS('Auditoria Documental'!$M$7:$M$1000,'Auditoria Documental'!$A$7:$A$1000,A204),0))</f>
        <v>0</v>
      </c>
      <c r="M204" s="113">
        <f>IF(A204="","",COUNTIFS('Auditoria Documental'!$A$7:$A$1000,A204,'Auditoria Documental'!$J$7:$J$1000,3,'Auditoria Documental'!$K$7:$K$1000,"Não conforme"))</f>
        <v>0</v>
      </c>
      <c r="N204" s="114">
        <f>IF(A204="","",IFERROR(COUNTIFS('Auditoria Documental'!$A$7:$A$1000,A204,'Auditoria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04" s="102"/>
    </row>
    <row r="205" ht="14.25" customHeight="1">
      <c r="A205" s="106" t="s">
        <v>2749</v>
      </c>
      <c r="B205" s="39" t="s">
        <v>2003</v>
      </c>
      <c r="C205" s="104" t="str">
        <f t="array" ref="C205">IF(B205="","",IFERROR(INDEX('Cadastro Unidades'!$A$6:$A$222,MATCH(B205,'Cadastro Unidades'!$E$6:$E$222,0)),""))</f>
        <v>DASAC</v>
      </c>
      <c r="D205" s="104"/>
      <c r="E205" s="104"/>
      <c r="F205" s="115"/>
      <c r="G205" s="115"/>
      <c r="H205" s="104"/>
      <c r="I205" s="104"/>
      <c r="J205" s="116">
        <f>IF(A205="","",COUNTIF('Auditoria Documental'!$A$7:$A$1000,A205))</f>
        <v>0</v>
      </c>
      <c r="K205" s="116">
        <f>IF(A205="","",COUNTIFS('Auditoria Documental'!$A$7:$A$1000,A205,'Auditoria Documental'!$K$7:$K$1000,"&lt;&gt;Não avaliado",'Auditoria Documental'!$K$7:$K$1000,"&lt;&gt;"))</f>
        <v>0</v>
      </c>
      <c r="L205" s="117">
        <f>IF(A205="","",IFERROR(SUMIFS('Auditoria Documental'!$N$7:$N$1000,'Auditoria Documental'!$A$7:$A$1000,A205)/SUMIFS('Auditoria Documental'!$M$7:$M$1000,'Auditoria Documental'!$A$7:$A$1000,A205),0))</f>
        <v>0</v>
      </c>
      <c r="M205" s="116">
        <f>IF(A205="","",COUNTIFS('Auditoria Documental'!$A$7:$A$1000,A205,'Auditoria Documental'!$J$7:$J$1000,3,'Auditoria Documental'!$K$7:$K$1000,"Não conforme"))</f>
        <v>0</v>
      </c>
      <c r="N205" s="117">
        <f>IF(A205="","",IFERROR(COUNTIFS('Auditoria Documental'!$A$7:$A$1000,A205,'Auditoria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05" s="104"/>
    </row>
    <row r="206" ht="14.25" customHeight="1">
      <c r="A206" s="106" t="s">
        <v>2750</v>
      </c>
      <c r="B206" s="39" t="s">
        <v>2014</v>
      </c>
      <c r="C206" s="118" t="str">
        <f t="array" ref="C206">IF(B206="","",IFERROR(INDEX('Cadastro Unidades'!$A$6:$A$222,MATCH(B206,'Cadastro Unidades'!$E$6:$E$222,0)),""))</f>
        <v>DASAC</v>
      </c>
      <c r="D206" s="118"/>
      <c r="E206" s="118"/>
      <c r="F206" s="119"/>
      <c r="G206" s="119"/>
      <c r="H206" s="118"/>
      <c r="I206" s="118"/>
      <c r="J206" s="120">
        <f>IF(A206="","",COUNTIF('Auditoria Documental'!$A$7:$A$1000,A206))</f>
        <v>0</v>
      </c>
      <c r="K206" s="120">
        <f>IF(A206="","",COUNTIFS('Auditoria Documental'!$A$7:$A$1000,A206,'Auditoria Documental'!$K$7:$K$1000,"&lt;&gt;Não avaliado",'Auditoria Documental'!$K$7:$K$1000,"&lt;&gt;"))</f>
        <v>0</v>
      </c>
      <c r="L206" s="121">
        <f>IF(A206="","",IFERROR(SUMIFS('Auditoria Documental'!$N$7:$N$1000,'Auditoria Documental'!$A$7:$A$1000,A206)/SUMIFS('Auditoria Documental'!$M$7:$M$1000,'Auditoria Documental'!$A$7:$A$1000,A206),0))</f>
        <v>0</v>
      </c>
      <c r="M206" s="120">
        <f>IF(A206="","",COUNTIFS('Auditoria Documental'!$A$7:$A$1000,A206,'Auditoria Documental'!$J$7:$J$1000,3,'Auditoria Documental'!$K$7:$K$1000,"Não conforme"))</f>
        <v>0</v>
      </c>
      <c r="N206" s="121">
        <f>IF(A206="","",IFERROR(COUNTIFS('Auditoria Documental'!$A$7:$A$1000,A206,'Auditoria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06" s="118"/>
    </row>
    <row r="207" ht="14.25" customHeight="1">
      <c r="A207" s="106" t="s">
        <v>2751</v>
      </c>
      <c r="B207" s="39" t="s">
        <v>2025</v>
      </c>
      <c r="C207" s="118" t="str">
        <f t="array" ref="C207">IF(B207="","",IFERROR(INDEX('Cadastro Unidades'!$A$6:$A$222,MATCH(B207,'Cadastro Unidades'!$E$6:$E$222,0)),""))</f>
        <v>DASAC</v>
      </c>
      <c r="D207" s="118"/>
      <c r="E207" s="118"/>
      <c r="F207" s="119"/>
      <c r="G207" s="119"/>
      <c r="H207" s="118"/>
      <c r="I207" s="118"/>
      <c r="J207" s="120">
        <f>IF(A207="","",COUNTIF('Auditoria Documental'!$A$7:$A$1000,A207))</f>
        <v>0</v>
      </c>
      <c r="K207" s="120">
        <f>IF(A207="","",COUNTIFS('Auditoria Documental'!$A$7:$A$1000,A207,'Auditoria Documental'!$K$7:$K$1000,"&lt;&gt;Não avaliado",'Auditoria Documental'!$K$7:$K$1000,"&lt;&gt;"))</f>
        <v>0</v>
      </c>
      <c r="L207" s="121">
        <f>IF(A207="","",IFERROR(SUMIFS('Auditoria Documental'!$N$7:$N$1000,'Auditoria Documental'!$A$7:$A$1000,A207)/SUMIFS('Auditoria Documental'!$M$7:$M$1000,'Auditoria Documental'!$A$7:$A$1000,A207),0))</f>
        <v>0</v>
      </c>
      <c r="M207" s="120">
        <f>IF(A207="","",COUNTIFS('Auditoria Documental'!$A$7:$A$1000,A207,'Auditoria Documental'!$J$7:$J$1000,3,'Auditoria Documental'!$K$7:$K$1000,"Não conforme"))</f>
        <v>0</v>
      </c>
      <c r="N207" s="121">
        <f>IF(A207="","",IFERROR(COUNTIFS('Auditoria Documental'!$A$7:$A$1000,A207,'Auditoria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07" s="118"/>
    </row>
    <row r="208" ht="14.25" customHeight="1">
      <c r="A208" s="106" t="s">
        <v>2752</v>
      </c>
      <c r="B208" s="39" t="s">
        <v>2035</v>
      </c>
      <c r="C208" s="118" t="str">
        <f t="array" ref="C208">IF(B208="","",IFERROR(INDEX('Cadastro Unidades'!$A$6:$A$222,MATCH(B208,'Cadastro Unidades'!$E$6:$E$222,0)),""))</f>
        <v>DASAC</v>
      </c>
      <c r="D208" s="118"/>
      <c r="E208" s="118"/>
      <c r="F208" s="119"/>
      <c r="G208" s="119"/>
      <c r="H208" s="118"/>
      <c r="I208" s="118"/>
      <c r="J208" s="120">
        <f>IF(A208="","",COUNTIF('Auditoria Documental'!$A$7:$A$1000,A208))</f>
        <v>0</v>
      </c>
      <c r="K208" s="120">
        <f>IF(A208="","",COUNTIFS('Auditoria Documental'!$A$7:$A$1000,A208,'Auditoria Documental'!$K$7:$K$1000,"&lt;&gt;Não avaliado",'Auditoria Documental'!$K$7:$K$1000,"&lt;&gt;"))</f>
        <v>0</v>
      </c>
      <c r="L208" s="121">
        <f>IF(A208="","",IFERROR(SUMIFS('Auditoria Documental'!$N$7:$N$1000,'Auditoria Documental'!$A$7:$A$1000,A208)/SUMIFS('Auditoria Documental'!$M$7:$M$1000,'Auditoria Documental'!$A$7:$A$1000,A208),0))</f>
        <v>0</v>
      </c>
      <c r="M208" s="120">
        <f>IF(A208="","",COUNTIFS('Auditoria Documental'!$A$7:$A$1000,A208,'Auditoria Documental'!$J$7:$J$1000,3,'Auditoria Documental'!$K$7:$K$1000,"Não conforme"))</f>
        <v>0</v>
      </c>
      <c r="N208" s="121">
        <f>IF(A208="","",IFERROR(COUNTIFS('Auditoria Documental'!$A$7:$A$1000,A208,'Auditoria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08" s="118"/>
    </row>
    <row r="209" ht="14.25" customHeight="1">
      <c r="A209" s="106" t="s">
        <v>2753</v>
      </c>
      <c r="B209" s="39" t="s">
        <v>2047</v>
      </c>
      <c r="C209" s="118" t="str">
        <f t="array" ref="C209">IF(B209="","",IFERROR(INDEX('Cadastro Unidades'!$A$6:$A$222,MATCH(B209,'Cadastro Unidades'!$E$6:$E$222,0)),""))</f>
        <v>DASAC</v>
      </c>
      <c r="D209" s="118"/>
      <c r="E209" s="118"/>
      <c r="F209" s="119"/>
      <c r="G209" s="119"/>
      <c r="H209" s="118"/>
      <c r="I209" s="118"/>
      <c r="J209" s="120">
        <f>IF(A209="","",COUNTIF('Auditoria Documental'!$A$7:$A$1000,A209))</f>
        <v>0</v>
      </c>
      <c r="K209" s="120">
        <f>IF(A209="","",COUNTIFS('Auditoria Documental'!$A$7:$A$1000,A209,'Auditoria Documental'!$K$7:$K$1000,"&lt;&gt;Não avaliado",'Auditoria Documental'!$K$7:$K$1000,"&lt;&gt;"))</f>
        <v>0</v>
      </c>
      <c r="L209" s="121">
        <f>IF(A209="","",IFERROR(SUMIFS('Auditoria Documental'!$N$7:$N$1000,'Auditoria Documental'!$A$7:$A$1000,A209)/SUMIFS('Auditoria Documental'!$M$7:$M$1000,'Auditoria Documental'!$A$7:$A$1000,A209),0))</f>
        <v>0</v>
      </c>
      <c r="M209" s="120">
        <f>IF(A209="","",COUNTIFS('Auditoria Documental'!$A$7:$A$1000,A209,'Auditoria Documental'!$J$7:$J$1000,3,'Auditoria Documental'!$K$7:$K$1000,"Não conforme"))</f>
        <v>0</v>
      </c>
      <c r="N209" s="121">
        <f>IF(A209="","",IFERROR(COUNTIFS('Auditoria Documental'!$A$7:$A$1000,A209,'Auditoria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09" s="118"/>
    </row>
    <row r="210" ht="14.25" customHeight="1">
      <c r="A210" s="106" t="s">
        <v>2754</v>
      </c>
      <c r="B210" s="39" t="s">
        <v>2058</v>
      </c>
      <c r="C210" s="118" t="str">
        <f t="array" ref="C210">IF(B210="","",IFERROR(INDEX('Cadastro Unidades'!$A$6:$A$222,MATCH(B210,'Cadastro Unidades'!$E$6:$E$222,0)),""))</f>
        <v>DASAC</v>
      </c>
      <c r="D210" s="118"/>
      <c r="E210" s="118"/>
      <c r="F210" s="119"/>
      <c r="G210" s="119"/>
      <c r="H210" s="118"/>
      <c r="I210" s="118"/>
      <c r="J210" s="120">
        <f>IF(A210="","",COUNTIF('Auditoria Documental'!$A$7:$A$1000,A210))</f>
        <v>0</v>
      </c>
      <c r="K210" s="120">
        <f>IF(A210="","",COUNTIFS('Auditoria Documental'!$A$7:$A$1000,A210,'Auditoria Documental'!$K$7:$K$1000,"&lt;&gt;Não avaliado",'Auditoria Documental'!$K$7:$K$1000,"&lt;&gt;"))</f>
        <v>0</v>
      </c>
      <c r="L210" s="121">
        <f>IF(A210="","",IFERROR(SUMIFS('Auditoria Documental'!$N$7:$N$1000,'Auditoria Documental'!$A$7:$A$1000,A210)/SUMIFS('Auditoria Documental'!$M$7:$M$1000,'Auditoria Documental'!$A$7:$A$1000,A210),0))</f>
        <v>0</v>
      </c>
      <c r="M210" s="120">
        <f>IF(A210="","",COUNTIFS('Auditoria Documental'!$A$7:$A$1000,A210,'Auditoria Documental'!$J$7:$J$1000,3,'Auditoria Documental'!$K$7:$K$1000,"Não conforme"))</f>
        <v>0</v>
      </c>
      <c r="N210" s="121">
        <f>IF(A210="","",IFERROR(COUNTIFS('Auditoria Documental'!$A$7:$A$1000,A210,'Auditoria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10" s="118"/>
    </row>
    <row r="211" ht="14.25" customHeight="1">
      <c r="A211" s="106" t="s">
        <v>2755</v>
      </c>
      <c r="B211" s="39" t="s">
        <v>2071</v>
      </c>
      <c r="C211" s="118" t="str">
        <f t="array" ref="C211">IF(B211="","",IFERROR(INDEX('Cadastro Unidades'!$A$6:$A$222,MATCH(B211,'Cadastro Unidades'!$E$6:$E$222,0)),""))</f>
        <v>DASAC</v>
      </c>
      <c r="D211" s="118"/>
      <c r="E211" s="118"/>
      <c r="F211" s="119"/>
      <c r="G211" s="119"/>
      <c r="H211" s="118"/>
      <c r="I211" s="118"/>
      <c r="J211" s="120">
        <f>IF(A211="","",COUNTIF('Auditoria Documental'!$A$7:$A$1000,A211))</f>
        <v>0</v>
      </c>
      <c r="K211" s="120">
        <f>IF(A211="","",COUNTIFS('Auditoria Documental'!$A$7:$A$1000,A211,'Auditoria Documental'!$K$7:$K$1000,"&lt;&gt;Não avaliado",'Auditoria Documental'!$K$7:$K$1000,"&lt;&gt;"))</f>
        <v>0</v>
      </c>
      <c r="L211" s="121">
        <f>IF(A211="","",IFERROR(SUMIFS('Auditoria Documental'!$N$7:$N$1000,'Auditoria Documental'!$A$7:$A$1000,A211)/SUMIFS('Auditoria Documental'!$M$7:$M$1000,'Auditoria Documental'!$A$7:$A$1000,A211),0))</f>
        <v>0</v>
      </c>
      <c r="M211" s="120">
        <f>IF(A211="","",COUNTIFS('Auditoria Documental'!$A$7:$A$1000,A211,'Auditoria Documental'!$J$7:$J$1000,3,'Auditoria Documental'!$K$7:$K$1000,"Não conforme"))</f>
        <v>0</v>
      </c>
      <c r="N211" s="121">
        <f>IF(A211="","",IFERROR(COUNTIFS('Auditoria Documental'!$A$7:$A$1000,A211,'Auditoria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11" s="118"/>
    </row>
    <row r="212" ht="14.25" customHeight="1">
      <c r="A212" s="106" t="s">
        <v>2756</v>
      </c>
      <c r="B212" s="39" t="s">
        <v>2077</v>
      </c>
      <c r="C212" s="118" t="str">
        <f t="array" ref="C212">IF(B212="","",IFERROR(INDEX('Cadastro Unidades'!$A$6:$A$222,MATCH(B212,'Cadastro Unidades'!$E$6:$E$222,0)),""))</f>
        <v>DASAC</v>
      </c>
      <c r="D212" s="118"/>
      <c r="E212" s="118"/>
      <c r="F212" s="119"/>
      <c r="G212" s="119"/>
      <c r="H212" s="118"/>
      <c r="I212" s="118"/>
      <c r="J212" s="120">
        <f>IF(A212="","",COUNTIF('Auditoria Documental'!$A$7:$A$1000,A212))</f>
        <v>0</v>
      </c>
      <c r="K212" s="120">
        <f>IF(A212="","",COUNTIFS('Auditoria Documental'!$A$7:$A$1000,A212,'Auditoria Documental'!$K$7:$K$1000,"&lt;&gt;Não avaliado",'Auditoria Documental'!$K$7:$K$1000,"&lt;&gt;"))</f>
        <v>0</v>
      </c>
      <c r="L212" s="121">
        <f>IF(A212="","",IFERROR(SUMIFS('Auditoria Documental'!$N$7:$N$1000,'Auditoria Documental'!$A$7:$A$1000,A212)/SUMIFS('Auditoria Documental'!$M$7:$M$1000,'Auditoria Documental'!$A$7:$A$1000,A212),0))</f>
        <v>0</v>
      </c>
      <c r="M212" s="120">
        <f>IF(A212="","",COUNTIFS('Auditoria Documental'!$A$7:$A$1000,A212,'Auditoria Documental'!$J$7:$J$1000,3,'Auditoria Documental'!$K$7:$K$1000,"Não conforme"))</f>
        <v>0</v>
      </c>
      <c r="N212" s="121">
        <f>IF(A212="","",IFERROR(COUNTIFS('Auditoria Documental'!$A$7:$A$1000,A212,'Auditoria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12" s="118"/>
    </row>
    <row r="213" ht="14.25" customHeight="1">
      <c r="A213" s="106" t="s">
        <v>2757</v>
      </c>
      <c r="B213" s="39" t="s">
        <v>2086</v>
      </c>
      <c r="C213" s="118" t="str">
        <f t="array" ref="C213">IF(B213="","",IFERROR(INDEX('Cadastro Unidades'!$A$6:$A$222,MATCH(B213,'Cadastro Unidades'!$E$6:$E$222,0)),""))</f>
        <v>DASAC</v>
      </c>
      <c r="D213" s="118"/>
      <c r="E213" s="118"/>
      <c r="F213" s="119"/>
      <c r="G213" s="119"/>
      <c r="H213" s="118"/>
      <c r="I213" s="118"/>
      <c r="J213" s="120">
        <f>IF(A213="","",COUNTIF('Auditoria Documental'!$A$7:$A$1000,A213))</f>
        <v>0</v>
      </c>
      <c r="K213" s="120">
        <f>IF(A213="","",COUNTIFS('Auditoria Documental'!$A$7:$A$1000,A213,'Auditoria Documental'!$K$7:$K$1000,"&lt;&gt;Não avaliado",'Auditoria Documental'!$K$7:$K$1000,"&lt;&gt;"))</f>
        <v>0</v>
      </c>
      <c r="L213" s="121">
        <f>IF(A213="","",IFERROR(SUMIFS('Auditoria Documental'!$N$7:$N$1000,'Auditoria Documental'!$A$7:$A$1000,A213)/SUMIFS('Auditoria Documental'!$M$7:$M$1000,'Auditoria Documental'!$A$7:$A$1000,A213),0))</f>
        <v>0</v>
      </c>
      <c r="M213" s="120">
        <f>IF(A213="","",COUNTIFS('Auditoria Documental'!$A$7:$A$1000,A213,'Auditoria Documental'!$J$7:$J$1000,3,'Auditoria Documental'!$K$7:$K$1000,"Não conforme"))</f>
        <v>0</v>
      </c>
      <c r="N213" s="121">
        <f>IF(A213="","",IFERROR(COUNTIFS('Auditoria Documental'!$A$7:$A$1000,A213,'Auditoria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13" s="118"/>
    </row>
    <row r="214" ht="14.25" customHeight="1">
      <c r="A214" s="106" t="s">
        <v>2758</v>
      </c>
      <c r="B214" s="39" t="s">
        <v>2093</v>
      </c>
      <c r="C214" s="118" t="str">
        <f t="array" ref="C214">IF(B214="","",IFERROR(INDEX('Cadastro Unidades'!$A$6:$A$222,MATCH(B214,'Cadastro Unidades'!$E$6:$E$222,0)),""))</f>
        <v>DASAC</v>
      </c>
      <c r="D214" s="118"/>
      <c r="E214" s="118"/>
      <c r="F214" s="119"/>
      <c r="G214" s="119"/>
      <c r="H214" s="118"/>
      <c r="I214" s="118"/>
      <c r="J214" s="120">
        <f>IF(A214="","",COUNTIF('Auditoria Documental'!$A$7:$A$1000,A214))</f>
        <v>0</v>
      </c>
      <c r="K214" s="120">
        <f>IF(A214="","",COUNTIFS('Auditoria Documental'!$A$7:$A$1000,A214,'Auditoria Documental'!$K$7:$K$1000,"&lt;&gt;Não avaliado",'Auditoria Documental'!$K$7:$K$1000,"&lt;&gt;"))</f>
        <v>0</v>
      </c>
      <c r="L214" s="121">
        <f>IF(A214="","",IFERROR(SUMIFS('Auditoria Documental'!$N$7:$N$1000,'Auditoria Documental'!$A$7:$A$1000,A214)/SUMIFS('Auditoria Documental'!$M$7:$M$1000,'Auditoria Documental'!$A$7:$A$1000,A214),0))</f>
        <v>0</v>
      </c>
      <c r="M214" s="120">
        <f>IF(A214="","",COUNTIFS('Auditoria Documental'!$A$7:$A$1000,A214,'Auditoria Documental'!$J$7:$J$1000,3,'Auditoria Documental'!$K$7:$K$1000,"Não conforme"))</f>
        <v>0</v>
      </c>
      <c r="N214" s="121">
        <f>IF(A214="","",IFERROR(COUNTIFS('Auditoria Documental'!$A$7:$A$1000,A214,'Auditoria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14" s="118"/>
    </row>
    <row r="215" ht="14.25" customHeight="1">
      <c r="A215" s="106" t="s">
        <v>2759</v>
      </c>
      <c r="B215" s="39" t="s">
        <v>2101</v>
      </c>
      <c r="C215" s="118" t="str">
        <f t="array" ref="C215">IF(B215="","",IFERROR(INDEX('Cadastro Unidades'!$A$6:$A$222,MATCH(B215,'Cadastro Unidades'!$E$6:$E$222,0)),""))</f>
        <v>DASAC</v>
      </c>
      <c r="D215" s="118"/>
      <c r="E215" s="118"/>
      <c r="F215" s="119"/>
      <c r="G215" s="119"/>
      <c r="H215" s="118"/>
      <c r="I215" s="118"/>
      <c r="J215" s="120">
        <f>IF(A215="","",COUNTIF('Auditoria Documental'!$A$7:$A$1000,A215))</f>
        <v>0</v>
      </c>
      <c r="K215" s="120">
        <f>IF(A215="","",COUNTIFS('Auditoria Documental'!$A$7:$A$1000,A215,'Auditoria Documental'!$K$7:$K$1000,"&lt;&gt;Não avaliado",'Auditoria Documental'!$K$7:$K$1000,"&lt;&gt;"))</f>
        <v>0</v>
      </c>
      <c r="L215" s="121">
        <f>IF(A215="","",IFERROR(SUMIFS('Auditoria Documental'!$N$7:$N$1000,'Auditoria Documental'!$A$7:$A$1000,A215)/SUMIFS('Auditoria Documental'!$M$7:$M$1000,'Auditoria Documental'!$A$7:$A$1000,A215),0))</f>
        <v>0</v>
      </c>
      <c r="M215" s="120">
        <f>IF(A215="","",COUNTIFS('Auditoria Documental'!$A$7:$A$1000,A215,'Auditoria Documental'!$J$7:$J$1000,3,'Auditoria Documental'!$K$7:$K$1000,"Não conforme"))</f>
        <v>0</v>
      </c>
      <c r="N215" s="121">
        <f>IF(A215="","",IFERROR(COUNTIFS('Auditoria Documental'!$A$7:$A$1000,A215,'Auditoria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15" s="118"/>
    </row>
    <row r="216" ht="14.25" customHeight="1">
      <c r="A216" s="106" t="s">
        <v>2760</v>
      </c>
      <c r="B216" s="39" t="s">
        <v>2112</v>
      </c>
      <c r="C216" s="118" t="str">
        <f t="array" ref="C216">IF(B216="","",IFERROR(INDEX('Cadastro Unidades'!$A$6:$A$222,MATCH(B216,'Cadastro Unidades'!$E$6:$E$222,0)),""))</f>
        <v>DASAC</v>
      </c>
      <c r="D216" s="118"/>
      <c r="E216" s="118"/>
      <c r="F216" s="119"/>
      <c r="G216" s="119"/>
      <c r="H216" s="118"/>
      <c r="I216" s="118"/>
      <c r="J216" s="120">
        <f>IF(A216="","",COUNTIF('Auditoria Documental'!$A$7:$A$1000,A216))</f>
        <v>0</v>
      </c>
      <c r="K216" s="120">
        <f>IF(A216="","",COUNTIFS('Auditoria Documental'!$A$7:$A$1000,A216,'Auditoria Documental'!$K$7:$K$1000,"&lt;&gt;Não avaliado",'Auditoria Documental'!$K$7:$K$1000,"&lt;&gt;"))</f>
        <v>0</v>
      </c>
      <c r="L216" s="121">
        <f>IF(A216="","",IFERROR(SUMIFS('Auditoria Documental'!$N$7:$N$1000,'Auditoria Documental'!$A$7:$A$1000,A216)/SUMIFS('Auditoria Documental'!$M$7:$M$1000,'Auditoria Documental'!$A$7:$A$1000,A216),0))</f>
        <v>0</v>
      </c>
      <c r="M216" s="120">
        <f>IF(A216="","",COUNTIFS('Auditoria Documental'!$A$7:$A$1000,A216,'Auditoria Documental'!$J$7:$J$1000,3,'Auditoria Documental'!$K$7:$K$1000,"Não conforme"))</f>
        <v>0</v>
      </c>
      <c r="N216" s="121">
        <f>IF(A216="","",IFERROR(COUNTIFS('Auditoria Documental'!$A$7:$A$1000,A216,'Auditoria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16" s="118"/>
    </row>
    <row r="217" ht="14.25" customHeight="1">
      <c r="A217" s="106" t="s">
        <v>2761</v>
      </c>
      <c r="B217" s="39" t="s">
        <v>2123</v>
      </c>
      <c r="C217" s="118" t="str">
        <f t="array" ref="C217">IF(B217="","",IFERROR(INDEX('Cadastro Unidades'!$A$6:$A$222,MATCH(B217,'Cadastro Unidades'!$E$6:$E$222,0)),""))</f>
        <v>DASAC</v>
      </c>
      <c r="D217" s="118"/>
      <c r="E217" s="118"/>
      <c r="F217" s="119"/>
      <c r="G217" s="119"/>
      <c r="H217" s="118"/>
      <c r="I217" s="118"/>
      <c r="J217" s="120">
        <f>IF(A217="","",COUNTIF('Auditoria Documental'!$A$7:$A$1000,A217))</f>
        <v>0</v>
      </c>
      <c r="K217" s="120">
        <f>IF(A217="","",COUNTIFS('Auditoria Documental'!$A$7:$A$1000,A217,'Auditoria Documental'!$K$7:$K$1000,"&lt;&gt;Não avaliado",'Auditoria Documental'!$K$7:$K$1000,"&lt;&gt;"))</f>
        <v>0</v>
      </c>
      <c r="L217" s="121">
        <f>IF(A217="","",IFERROR(SUMIFS('Auditoria Documental'!$N$7:$N$1000,'Auditoria Documental'!$A$7:$A$1000,A217)/SUMIFS('Auditoria Documental'!$M$7:$M$1000,'Auditoria Documental'!$A$7:$A$1000,A217),0))</f>
        <v>0</v>
      </c>
      <c r="M217" s="120">
        <f>IF(A217="","",COUNTIFS('Auditoria Documental'!$A$7:$A$1000,A217,'Auditoria Documental'!$J$7:$J$1000,3,'Auditoria Documental'!$K$7:$K$1000,"Não conforme"))</f>
        <v>0</v>
      </c>
      <c r="N217" s="121">
        <f>IF(A217="","",IFERROR(COUNTIFS('Auditoria Documental'!$A$7:$A$1000,A217,'Auditoria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17" s="118"/>
    </row>
    <row r="218" ht="14.25" customHeight="1">
      <c r="A218" s="106" t="s">
        <v>2762</v>
      </c>
      <c r="B218" s="39" t="s">
        <v>2132</v>
      </c>
      <c r="C218" s="118" t="str">
        <f t="array" ref="C218">IF(B218="","",IFERROR(INDEX('Cadastro Unidades'!$A$6:$A$222,MATCH(B218,'Cadastro Unidades'!$E$6:$E$222,0)),""))</f>
        <v>DASAC</v>
      </c>
      <c r="D218" s="118"/>
      <c r="E218" s="118"/>
      <c r="F218" s="119"/>
      <c r="G218" s="119"/>
      <c r="H218" s="118"/>
      <c r="I218" s="118"/>
      <c r="J218" s="120">
        <f>IF(A218="","",COUNTIF('Auditoria Documental'!$A$7:$A$1000,A218))</f>
        <v>0</v>
      </c>
      <c r="K218" s="120">
        <f>IF(A218="","",COUNTIFS('Auditoria Documental'!$A$7:$A$1000,A218,'Auditoria Documental'!$K$7:$K$1000,"&lt;&gt;Não avaliado",'Auditoria Documental'!$K$7:$K$1000,"&lt;&gt;"))</f>
        <v>0</v>
      </c>
      <c r="L218" s="121">
        <f>IF(A218="","",IFERROR(SUMIFS('Auditoria Documental'!$N$7:$N$1000,'Auditoria Documental'!$A$7:$A$1000,A218)/SUMIFS('Auditoria Documental'!$M$7:$M$1000,'Auditoria Documental'!$A$7:$A$1000,A218),0))</f>
        <v>0</v>
      </c>
      <c r="M218" s="120">
        <f>IF(A218="","",COUNTIFS('Auditoria Documental'!$A$7:$A$1000,A218,'Auditoria Documental'!$J$7:$J$1000,3,'Auditoria Documental'!$K$7:$K$1000,"Não conforme"))</f>
        <v>0</v>
      </c>
      <c r="N218" s="121">
        <f>IF(A218="","",IFERROR(COUNTIFS('Auditoria Documental'!$A$7:$A$1000,A218,'Auditoria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18" s="118"/>
    </row>
    <row r="219" ht="14.25" customHeight="1">
      <c r="A219" s="106" t="s">
        <v>2763</v>
      </c>
      <c r="B219" s="39" t="s">
        <v>2142</v>
      </c>
      <c r="C219" s="118" t="str">
        <f t="array" ref="C219">IF(B219="","",IFERROR(INDEX('Cadastro Unidades'!$A$6:$A$222,MATCH(B219,'Cadastro Unidades'!$E$6:$E$222,0)),""))</f>
        <v>DASAC</v>
      </c>
      <c r="D219" s="118"/>
      <c r="E219" s="118"/>
      <c r="F219" s="119"/>
      <c r="G219" s="119"/>
      <c r="H219" s="118"/>
      <c r="I219" s="118"/>
      <c r="J219" s="120">
        <f>IF(A219="","",COUNTIF('Auditoria Documental'!$A$7:$A$1000,A219))</f>
        <v>0</v>
      </c>
      <c r="K219" s="120">
        <f>IF(A219="","",COUNTIFS('Auditoria Documental'!$A$7:$A$1000,A219,'Auditoria Documental'!$K$7:$K$1000,"&lt;&gt;Não avaliado",'Auditoria Documental'!$K$7:$K$1000,"&lt;&gt;"))</f>
        <v>0</v>
      </c>
      <c r="L219" s="121">
        <f>IF(A219="","",IFERROR(SUMIFS('Auditoria Documental'!$N$7:$N$1000,'Auditoria Documental'!$A$7:$A$1000,A219)/SUMIFS('Auditoria Documental'!$M$7:$M$1000,'Auditoria Documental'!$A$7:$A$1000,A219),0))</f>
        <v>0</v>
      </c>
      <c r="M219" s="120">
        <f>IF(A219="","",COUNTIFS('Auditoria Documental'!$A$7:$A$1000,A219,'Auditoria Documental'!$J$7:$J$1000,3,'Auditoria Documental'!$K$7:$K$1000,"Não conforme"))</f>
        <v>0</v>
      </c>
      <c r="N219" s="121">
        <f>IF(A219="","",IFERROR(COUNTIFS('Auditoria Documental'!$A$7:$A$1000,A219,'Auditoria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19" s="118"/>
    </row>
    <row r="220" ht="14.25" customHeight="1">
      <c r="A220" s="106" t="s">
        <v>2764</v>
      </c>
      <c r="B220" s="39" t="s">
        <v>2147</v>
      </c>
      <c r="C220" s="118" t="str">
        <f t="array" ref="C220">IF(B220="","",IFERROR(INDEX('Cadastro Unidades'!$A$6:$A$222,MATCH(B220,'Cadastro Unidades'!$E$6:$E$222,0)),""))</f>
        <v>DASAC</v>
      </c>
      <c r="D220" s="118"/>
      <c r="E220" s="118"/>
      <c r="F220" s="119"/>
      <c r="G220" s="119"/>
      <c r="H220" s="118"/>
      <c r="I220" s="118"/>
      <c r="J220" s="120">
        <f>IF(A220="","",COUNTIF('Auditoria Documental'!$A$7:$A$1000,A220))</f>
        <v>0</v>
      </c>
      <c r="K220" s="120">
        <f>IF(A220="","",COUNTIFS('Auditoria Documental'!$A$7:$A$1000,A220,'Auditoria Documental'!$K$7:$K$1000,"&lt;&gt;Não avaliado",'Auditoria Documental'!$K$7:$K$1000,"&lt;&gt;"))</f>
        <v>0</v>
      </c>
      <c r="L220" s="121">
        <f>IF(A220="","",IFERROR(SUMIFS('Auditoria Documental'!$N$7:$N$1000,'Auditoria Documental'!$A$7:$A$1000,A220)/SUMIFS('Auditoria Documental'!$M$7:$M$1000,'Auditoria Documental'!$A$7:$A$1000,A220),0))</f>
        <v>0</v>
      </c>
      <c r="M220" s="120">
        <f>IF(A220="","",COUNTIFS('Auditoria Documental'!$A$7:$A$1000,A220,'Auditoria Documental'!$J$7:$J$1000,3,'Auditoria Documental'!$K$7:$K$1000,"Não conforme"))</f>
        <v>0</v>
      </c>
      <c r="N220" s="121">
        <f>IF(A220="","",IFERROR(COUNTIFS('Auditoria Documental'!$A$7:$A$1000,A220,'Auditoria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20" s="118"/>
    </row>
    <row r="221" ht="14.25" customHeight="1">
      <c r="A221" s="106" t="s">
        <v>2765</v>
      </c>
      <c r="B221" s="39" t="s">
        <v>2159</v>
      </c>
      <c r="C221" s="118" t="str">
        <f t="array" ref="C221">IF(B221="","",IFERROR(INDEX('Cadastro Unidades'!$A$6:$A$222,MATCH(B221,'Cadastro Unidades'!$E$6:$E$222,0)),""))</f>
        <v>DASAC</v>
      </c>
      <c r="D221" s="118"/>
      <c r="E221" s="118"/>
      <c r="F221" s="119"/>
      <c r="G221" s="119"/>
      <c r="H221" s="118"/>
      <c r="I221" s="118"/>
      <c r="J221" s="120">
        <f>IF(A221="","",COUNTIF('Auditoria Documental'!$A$7:$A$1000,A221))</f>
        <v>0</v>
      </c>
      <c r="K221" s="120">
        <f>IF(A221="","",COUNTIFS('Auditoria Documental'!$A$7:$A$1000,A221,'Auditoria Documental'!$K$7:$K$1000,"&lt;&gt;Não avaliado",'Auditoria Documental'!$K$7:$K$1000,"&lt;&gt;"))</f>
        <v>0</v>
      </c>
      <c r="L221" s="121">
        <f>IF(A221="","",IFERROR(SUMIFS('Auditoria Documental'!$N$7:$N$1000,'Auditoria Documental'!$A$7:$A$1000,A221)/SUMIFS('Auditoria Documental'!$M$7:$M$1000,'Auditoria Documental'!$A$7:$A$1000,A221),0))</f>
        <v>0</v>
      </c>
      <c r="M221" s="120">
        <f>IF(A221="","",COUNTIFS('Auditoria Documental'!$A$7:$A$1000,A221,'Auditoria Documental'!$J$7:$J$1000,3,'Auditoria Documental'!$K$7:$K$1000,"Não conforme"))</f>
        <v>0</v>
      </c>
      <c r="N221" s="121">
        <f>IF(A221="","",IFERROR(COUNTIFS('Auditoria Documental'!$A$7:$A$1000,A221,'Auditoria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21" s="118"/>
    </row>
    <row r="222" ht="14.25" customHeight="1">
      <c r="A222" s="106" t="s">
        <v>2766</v>
      </c>
      <c r="B222" s="79" t="s">
        <v>2169</v>
      </c>
      <c r="C222" s="118" t="str">
        <f t="array" ref="C222">IF(B222="","",IFERROR(INDEX('Cadastro Unidades'!$A$6:$A$222,MATCH(B222,'Cadastro Unidades'!$E$6:$E$222,0)),""))</f>
        <v>DASAC</v>
      </c>
      <c r="D222" s="118"/>
      <c r="E222" s="118"/>
      <c r="F222" s="119"/>
      <c r="G222" s="119"/>
      <c r="H222" s="118"/>
      <c r="I222" s="118"/>
      <c r="J222" s="120">
        <f>IF(A222="","",COUNTIF('Auditoria Documental'!$A$7:$A$1000,A222))</f>
        <v>0</v>
      </c>
      <c r="K222" s="120">
        <f>IF(A222="","",COUNTIFS('Auditoria Documental'!$A$7:$A$1000,A222,'Auditoria Documental'!$K$7:$K$1000,"&lt;&gt;Não avaliado",'Auditoria Documental'!$K$7:$K$1000,"&lt;&gt;"))</f>
        <v>0</v>
      </c>
      <c r="L222" s="121">
        <f>IF(A222="","",IFERROR(SUMIFS('Auditoria Documental'!$N$7:$N$1000,'Auditoria Documental'!$A$7:$A$1000,A222)/SUMIFS('Auditoria Documental'!$M$7:$M$1000,'Auditoria Documental'!$A$7:$A$1000,A222),0))</f>
        <v>0</v>
      </c>
      <c r="M222" s="120">
        <f>IF(A222="","",COUNTIFS('Auditoria Documental'!$A$7:$A$1000,A222,'Auditoria Documental'!$J$7:$J$1000,3,'Auditoria Documental'!$K$7:$K$1000,"Não conforme"))</f>
        <v>0</v>
      </c>
      <c r="N222" s="121">
        <f>IF(A222="","",IFERROR(COUNTIFS('Auditoria Documental'!$A$7:$A$1000,A222,'Auditoria Documental'!$G$7:$G$1000,"7. Checklist da visita",'Auditoria Documental'!$K$7:$K$1000,"&lt;&gt;Não avaliado",'Auditoria Documental'!$K$7:$K$1000,"&lt;&gt;")/COUNTIF('Lista Mestra'!$B$7:$B$59,"7. Checklist da visita"),0))</f>
        <v>0</v>
      </c>
      <c r="O222" s="118"/>
    </row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54BDEB84-C704-4C2C-8BD5-A6B0DA2BACEA}" filter="1" showAutoFilter="1">
      <autoFilter ref="$A$5:$O$222"/>
      <extLst>
        <ext uri="GoogleSheetsCustomDataVersion1">
          <go:sheetsCustomData xmlns:go="http://customooxmlschemas.google.com/" filterViewId="593981494"/>
        </ext>
      </extLst>
    </customSheetView>
  </customSheetViews>
  <mergeCells count="2">
    <mergeCell ref="A1:O1"/>
    <mergeCell ref="A2:O2"/>
  </mergeCells>
  <dataValidations>
    <dataValidation type="list" allowBlank="1" sqref="I6:I222">
      <formula1>"Planejada,Agendada,Em execução,Concluída,Cancelada"</formula1>
    </dataValidation>
    <dataValidation type="list" allowBlank="1" sqref="B6:B222">
      <formula1>'Cadastro Unidades'!$E$6:$E$222</formula1>
    </dataValidation>
    <dataValidation type="list" allowBlank="1" sqref="D6:D222">
      <formula1>"Visita técnica — checklist integral,Auditoria documental,Acompanhamento de pendências,Verificação temática,Autoavaliação da unidade"</formula1>
    </dataValidation>
    <dataValidation type="list" allowBlank="1" sqref="E6:E222">
      <formula1>"Imediata,Alta,Média,Baixa"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2" width="13.0"/>
    <col customWidth="1" min="3" max="3" width="45.0"/>
    <col customWidth="1" min="4" max="4" width="11.0"/>
    <col customWidth="1" min="5" max="5" width="24.0"/>
    <col customWidth="1" min="6" max="6" width="11.0"/>
    <col customWidth="1" min="7" max="7" width="29.0"/>
    <col customWidth="1" min="8" max="8" width="40.0"/>
    <col customWidth="1" min="9" max="9" width="46.0"/>
    <col customWidth="1" min="10" max="10" width="8.0"/>
    <col customWidth="1" min="11" max="11" width="21.0"/>
    <col customWidth="1" min="12" max="12" width="35.0"/>
    <col customWidth="1" min="13" max="13" width="12.0"/>
    <col customWidth="1" min="14" max="14" width="10.0"/>
    <col customWidth="1" min="15" max="15" width="13.0"/>
    <col customWidth="1" min="16" max="16" width="46.0"/>
    <col customWidth="1" min="17" max="17" width="12.0"/>
    <col customWidth="1" min="18" max="18" width="13.0"/>
    <col customWidth="1" min="19" max="19" width="25.0"/>
    <col customWidth="1" min="20" max="20" width="18.0"/>
    <col customWidth="1" min="21" max="26" width="8.63"/>
  </cols>
  <sheetData>
    <row r="1" ht="33.75" customHeight="1">
      <c r="A1" s="1" t="s">
        <v>2767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30.0" customHeight="1">
      <c r="A2" s="4" t="s">
        <v>2768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ht="3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ht="37.5" customHeight="1">
      <c r="A4" s="97" t="s">
        <v>2769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9"/>
    </row>
    <row r="5" ht="14.25" customHeight="1"/>
    <row r="6" ht="33.75" customHeight="1">
      <c r="A6" s="27" t="s">
        <v>2535</v>
      </c>
      <c r="B6" s="27" t="s">
        <v>2770</v>
      </c>
      <c r="C6" s="27" t="s">
        <v>2536</v>
      </c>
      <c r="D6" s="27" t="s">
        <v>45</v>
      </c>
      <c r="E6" s="27" t="s">
        <v>2771</v>
      </c>
      <c r="F6" s="27" t="s">
        <v>46</v>
      </c>
      <c r="G6" s="27" t="s">
        <v>2238</v>
      </c>
      <c r="H6" s="27" t="s">
        <v>2772</v>
      </c>
      <c r="I6" s="27" t="s">
        <v>2773</v>
      </c>
      <c r="J6" s="27" t="s">
        <v>2243</v>
      </c>
      <c r="K6" s="27" t="s">
        <v>19</v>
      </c>
      <c r="L6" s="27" t="s">
        <v>2774</v>
      </c>
      <c r="M6" s="27" t="s">
        <v>2775</v>
      </c>
      <c r="N6" s="27" t="s">
        <v>2776</v>
      </c>
      <c r="O6" s="27" t="s">
        <v>2777</v>
      </c>
      <c r="P6" s="27" t="s">
        <v>2778</v>
      </c>
      <c r="Q6" s="27" t="s">
        <v>2779</v>
      </c>
      <c r="R6" s="27" t="s">
        <v>2780</v>
      </c>
      <c r="S6" s="27" t="s">
        <v>2781</v>
      </c>
      <c r="T6" s="27" t="s">
        <v>2782</v>
      </c>
    </row>
    <row r="7" ht="14.25" customHeight="1">
      <c r="A7" s="100" t="s">
        <v>2783</v>
      </c>
      <c r="B7" s="108" t="str">
        <f>IF('Plano de Auditoria'!$G$6&lt;&gt;"",'Plano de Auditoria'!$G$6,IF('Plano de Auditoria'!$F$6="","",'Plano de Auditoria'!$F$6))</f>
        <v/>
      </c>
      <c r="C7" s="100" t="str">
        <f>IF('Plano de Auditoria'!$B$6="","",'Plano de Auditoria'!$B$6)</f>
        <v>ESCOLA MUNICIPAL PROFESSORA MARIA AUXILIADORA MARTINS GONCALVES</v>
      </c>
      <c r="D7" s="100" t="str">
        <f>IF('Plano de Auditoria'!$C$6="","",'Plano de Auditoria'!$C$6)</f>
        <v>DABEL</v>
      </c>
      <c r="E7" s="100" t="str">
        <f>IF('Plano de Auditoria'!$H$6="","",'Plano de Auditoria'!$H$6)</f>
        <v/>
      </c>
      <c r="F7" s="107" t="s">
        <v>116</v>
      </c>
      <c r="G7" s="100" t="s">
        <v>2248</v>
      </c>
      <c r="H7" s="100" t="s">
        <v>2249</v>
      </c>
      <c r="I7" s="100" t="s">
        <v>2250</v>
      </c>
      <c r="J7" s="122">
        <v>3.0</v>
      </c>
      <c r="K7" s="123" t="s">
        <v>2784</v>
      </c>
      <c r="L7" s="122"/>
      <c r="M7" s="122">
        <f t="shared" ref="M7:M60" si="1">IF(OR(K7="Não se aplica",K7="",J7=0),0,J7)</f>
        <v>3</v>
      </c>
      <c r="N7" s="122">
        <f t="shared" ref="N7:N60" si="2">IF(K7="Conforme",M7,IF(K7="Parcialmente conforme",M7*0.5,0))</f>
        <v>0</v>
      </c>
      <c r="O7" s="110">
        <f t="shared" ref="O7:O60" si="3">IF(M7=0,"",N7/M7)</f>
        <v>0</v>
      </c>
      <c r="P7" s="100"/>
      <c r="Q7" s="107" t="s">
        <v>2785</v>
      </c>
      <c r="R7" s="108"/>
      <c r="S7" s="100"/>
      <c r="T7" s="100"/>
    </row>
    <row r="8" ht="14.25" customHeight="1">
      <c r="A8" s="102" t="s">
        <v>2783</v>
      </c>
      <c r="B8" s="112" t="str">
        <f>IF('Plano de Auditoria'!$G$6&lt;&gt;"",'Plano de Auditoria'!$G$6,IF('Plano de Auditoria'!$F$6="","",'Plano de Auditoria'!$F$6))</f>
        <v/>
      </c>
      <c r="C8" s="102" t="str">
        <f>IF('Plano de Auditoria'!$B$6="","",'Plano de Auditoria'!$B$6)</f>
        <v>ESCOLA MUNICIPAL PROFESSORA MARIA AUXILIADORA MARTINS GONCALVES</v>
      </c>
      <c r="D8" s="102" t="str">
        <f>IF('Plano de Auditoria'!$C$6="","",'Plano de Auditoria'!$C$6)</f>
        <v>DABEL</v>
      </c>
      <c r="E8" s="102" t="str">
        <f>IF('Plano de Auditoria'!$H$6="","",'Plano de Auditoria'!$H$6)</f>
        <v/>
      </c>
      <c r="F8" s="107" t="s">
        <v>116</v>
      </c>
      <c r="G8" s="102" t="s">
        <v>2248</v>
      </c>
      <c r="H8" s="102" t="s">
        <v>2257</v>
      </c>
      <c r="I8" s="102" t="s">
        <v>2258</v>
      </c>
      <c r="J8" s="124">
        <v>2.0</v>
      </c>
      <c r="K8" s="125" t="s">
        <v>2784</v>
      </c>
      <c r="L8" s="124"/>
      <c r="M8" s="124">
        <f t="shared" si="1"/>
        <v>2</v>
      </c>
      <c r="N8" s="124">
        <f t="shared" si="2"/>
        <v>0</v>
      </c>
      <c r="O8" s="114">
        <f t="shared" si="3"/>
        <v>0</v>
      </c>
      <c r="P8" s="102"/>
      <c r="Q8" s="102" t="s">
        <v>2785</v>
      </c>
      <c r="R8" s="112"/>
      <c r="S8" s="102"/>
      <c r="T8" s="102"/>
    </row>
    <row r="9" ht="14.25" customHeight="1">
      <c r="A9" s="102" t="s">
        <v>2783</v>
      </c>
      <c r="B9" s="112" t="str">
        <f>IF('Plano de Auditoria'!$G$6&lt;&gt;"",'Plano de Auditoria'!$G$6,IF('Plano de Auditoria'!$F$6="","",'Plano de Auditoria'!$F$6))</f>
        <v/>
      </c>
      <c r="C9" s="102" t="str">
        <f>IF('Plano de Auditoria'!$B$6="","",'Plano de Auditoria'!$B$6)</f>
        <v>ESCOLA MUNICIPAL PROFESSORA MARIA AUXILIADORA MARTINS GONCALVES</v>
      </c>
      <c r="D9" s="102" t="str">
        <f>IF('Plano de Auditoria'!$C$6="","",'Plano de Auditoria'!$C$6)</f>
        <v>DABEL</v>
      </c>
      <c r="E9" s="102" t="str">
        <f>IF('Plano de Auditoria'!$H$6="","",'Plano de Auditoria'!$H$6)</f>
        <v/>
      </c>
      <c r="F9" s="107" t="s">
        <v>116</v>
      </c>
      <c r="G9" s="102" t="s">
        <v>2248</v>
      </c>
      <c r="H9" s="102" t="s">
        <v>2264</v>
      </c>
      <c r="I9" s="102" t="s">
        <v>2265</v>
      </c>
      <c r="J9" s="124">
        <v>3.0</v>
      </c>
      <c r="K9" s="125" t="s">
        <v>2784</v>
      </c>
      <c r="L9" s="124"/>
      <c r="M9" s="124">
        <f t="shared" si="1"/>
        <v>3</v>
      </c>
      <c r="N9" s="124">
        <f t="shared" si="2"/>
        <v>0</v>
      </c>
      <c r="O9" s="114">
        <f t="shared" si="3"/>
        <v>0</v>
      </c>
      <c r="P9" s="102"/>
      <c r="Q9" s="102" t="s">
        <v>2785</v>
      </c>
      <c r="R9" s="112"/>
      <c r="S9" s="102"/>
      <c r="T9" s="102"/>
    </row>
    <row r="10" ht="14.25" customHeight="1">
      <c r="A10" s="102" t="s">
        <v>2783</v>
      </c>
      <c r="B10" s="112" t="str">
        <f>IF('Plano de Auditoria'!$G$6&lt;&gt;"",'Plano de Auditoria'!$G$6,IF('Plano de Auditoria'!$F$6="","",'Plano de Auditoria'!$F$6))</f>
        <v/>
      </c>
      <c r="C10" s="102" t="str">
        <f>IF('Plano de Auditoria'!$B$6="","",'Plano de Auditoria'!$B$6)</f>
        <v>ESCOLA MUNICIPAL PROFESSORA MARIA AUXILIADORA MARTINS GONCALVES</v>
      </c>
      <c r="D10" s="102" t="str">
        <f>IF('Plano de Auditoria'!$C$6="","",'Plano de Auditoria'!$C$6)</f>
        <v>DABEL</v>
      </c>
      <c r="E10" s="102" t="str">
        <f>IF('Plano de Auditoria'!$H$6="","",'Plano de Auditoria'!$H$6)</f>
        <v/>
      </c>
      <c r="F10" s="107" t="s">
        <v>116</v>
      </c>
      <c r="G10" s="102" t="s">
        <v>2248</v>
      </c>
      <c r="H10" s="102" t="s">
        <v>2270</v>
      </c>
      <c r="I10" s="102" t="s">
        <v>2271</v>
      </c>
      <c r="J10" s="124">
        <v>2.0</v>
      </c>
      <c r="K10" s="125" t="s">
        <v>2784</v>
      </c>
      <c r="L10" s="124"/>
      <c r="M10" s="124">
        <f t="shared" si="1"/>
        <v>2</v>
      </c>
      <c r="N10" s="124">
        <f t="shared" si="2"/>
        <v>0</v>
      </c>
      <c r="O10" s="114">
        <f t="shared" si="3"/>
        <v>0</v>
      </c>
      <c r="P10" s="102"/>
      <c r="Q10" s="102" t="s">
        <v>2785</v>
      </c>
      <c r="R10" s="112"/>
      <c r="S10" s="102"/>
      <c r="T10" s="102"/>
    </row>
    <row r="11" ht="14.25" customHeight="1">
      <c r="A11" s="102" t="s">
        <v>2783</v>
      </c>
      <c r="B11" s="112" t="str">
        <f>IF('Plano de Auditoria'!$G$6&lt;&gt;"",'Plano de Auditoria'!$G$6,IF('Plano de Auditoria'!$F$6="","",'Plano de Auditoria'!$F$6))</f>
        <v/>
      </c>
      <c r="C11" s="102" t="str">
        <f>IF('Plano de Auditoria'!$B$6="","",'Plano de Auditoria'!$B$6)</f>
        <v>ESCOLA MUNICIPAL PROFESSORA MARIA AUXILIADORA MARTINS GONCALVES</v>
      </c>
      <c r="D11" s="102" t="str">
        <f>IF('Plano de Auditoria'!$C$6="","",'Plano de Auditoria'!$C$6)</f>
        <v>DABEL</v>
      </c>
      <c r="E11" s="102" t="str">
        <f>IF('Plano de Auditoria'!$H$6="","",'Plano de Auditoria'!$H$6)</f>
        <v/>
      </c>
      <c r="F11" s="107" t="s">
        <v>116</v>
      </c>
      <c r="G11" s="102" t="s">
        <v>2248</v>
      </c>
      <c r="H11" s="102" t="s">
        <v>2275</v>
      </c>
      <c r="I11" s="102" t="s">
        <v>2276</v>
      </c>
      <c r="J11" s="124">
        <v>2.0</v>
      </c>
      <c r="K11" s="125" t="s">
        <v>2784</v>
      </c>
      <c r="L11" s="124"/>
      <c r="M11" s="124">
        <f t="shared" si="1"/>
        <v>2</v>
      </c>
      <c r="N11" s="124">
        <f t="shared" si="2"/>
        <v>0</v>
      </c>
      <c r="O11" s="114">
        <f t="shared" si="3"/>
        <v>0</v>
      </c>
      <c r="P11" s="102"/>
      <c r="Q11" s="102" t="s">
        <v>2785</v>
      </c>
      <c r="R11" s="112"/>
      <c r="S11" s="102"/>
      <c r="T11" s="102"/>
    </row>
    <row r="12" ht="14.25" customHeight="1">
      <c r="A12" s="102" t="s">
        <v>2783</v>
      </c>
      <c r="B12" s="112" t="str">
        <f>IF('Plano de Auditoria'!$G$6&lt;&gt;"",'Plano de Auditoria'!$G$6,IF('Plano de Auditoria'!$F$6="","",'Plano de Auditoria'!$F$6))</f>
        <v/>
      </c>
      <c r="C12" s="102" t="str">
        <f>IF('Plano de Auditoria'!$B$6="","",'Plano de Auditoria'!$B$6)</f>
        <v>ESCOLA MUNICIPAL PROFESSORA MARIA AUXILIADORA MARTINS GONCALVES</v>
      </c>
      <c r="D12" s="102" t="str">
        <f>IF('Plano de Auditoria'!$C$6="","",'Plano de Auditoria'!$C$6)</f>
        <v>DABEL</v>
      </c>
      <c r="E12" s="102" t="str">
        <f>IF('Plano de Auditoria'!$H$6="","",'Plano de Auditoria'!$H$6)</f>
        <v/>
      </c>
      <c r="F12" s="107" t="s">
        <v>116</v>
      </c>
      <c r="G12" s="102" t="s">
        <v>2248</v>
      </c>
      <c r="H12" s="102" t="s">
        <v>2281</v>
      </c>
      <c r="I12" s="102" t="s">
        <v>2282</v>
      </c>
      <c r="J12" s="124">
        <v>2.0</v>
      </c>
      <c r="K12" s="125" t="s">
        <v>2784</v>
      </c>
      <c r="L12" s="124"/>
      <c r="M12" s="124">
        <f t="shared" si="1"/>
        <v>2</v>
      </c>
      <c r="N12" s="124">
        <f t="shared" si="2"/>
        <v>0</v>
      </c>
      <c r="O12" s="114">
        <f t="shared" si="3"/>
        <v>0</v>
      </c>
      <c r="P12" s="102"/>
      <c r="Q12" s="102" t="s">
        <v>2785</v>
      </c>
      <c r="R12" s="112"/>
      <c r="S12" s="102"/>
      <c r="T12" s="102"/>
    </row>
    <row r="13" ht="14.25" customHeight="1">
      <c r="A13" s="102" t="s">
        <v>2783</v>
      </c>
      <c r="B13" s="112" t="str">
        <f>IF('Plano de Auditoria'!$G$6&lt;&gt;"",'Plano de Auditoria'!$G$6,IF('Plano de Auditoria'!$F$6="","",'Plano de Auditoria'!$F$6))</f>
        <v/>
      </c>
      <c r="C13" s="102" t="str">
        <f>IF('Plano de Auditoria'!$B$6="","",'Plano de Auditoria'!$B$6)</f>
        <v>ESCOLA MUNICIPAL PROFESSORA MARIA AUXILIADORA MARTINS GONCALVES</v>
      </c>
      <c r="D13" s="102" t="str">
        <f>IF('Plano de Auditoria'!$C$6="","",'Plano de Auditoria'!$C$6)</f>
        <v>DABEL</v>
      </c>
      <c r="E13" s="102" t="str">
        <f>IF('Plano de Auditoria'!$H$6="","",'Plano de Auditoria'!$H$6)</f>
        <v/>
      </c>
      <c r="F13" s="107" t="s">
        <v>116</v>
      </c>
      <c r="G13" s="102" t="s">
        <v>2248</v>
      </c>
      <c r="H13" s="102" t="s">
        <v>2286</v>
      </c>
      <c r="I13" s="102" t="s">
        <v>2287</v>
      </c>
      <c r="J13" s="124">
        <v>3.0</v>
      </c>
      <c r="K13" s="125" t="s">
        <v>2784</v>
      </c>
      <c r="L13" s="124"/>
      <c r="M13" s="124">
        <f t="shared" si="1"/>
        <v>3</v>
      </c>
      <c r="N13" s="124">
        <f t="shared" si="2"/>
        <v>0</v>
      </c>
      <c r="O13" s="114">
        <f t="shared" si="3"/>
        <v>0</v>
      </c>
      <c r="P13" s="102"/>
      <c r="Q13" s="102" t="s">
        <v>2785</v>
      </c>
      <c r="R13" s="112"/>
      <c r="S13" s="102"/>
      <c r="T13" s="102"/>
    </row>
    <row r="14" ht="14.25" customHeight="1">
      <c r="A14" s="102" t="s">
        <v>2783</v>
      </c>
      <c r="B14" s="112" t="str">
        <f>IF('Plano de Auditoria'!$G$6&lt;&gt;"",'Plano de Auditoria'!$G$6,IF('Plano de Auditoria'!$F$6="","",'Plano de Auditoria'!$F$6))</f>
        <v/>
      </c>
      <c r="C14" s="102" t="str">
        <f>IF('Plano de Auditoria'!$B$6="","",'Plano de Auditoria'!$B$6)</f>
        <v>ESCOLA MUNICIPAL PROFESSORA MARIA AUXILIADORA MARTINS GONCALVES</v>
      </c>
      <c r="D14" s="102" t="str">
        <f>IF('Plano de Auditoria'!$C$6="","",'Plano de Auditoria'!$C$6)</f>
        <v>DABEL</v>
      </c>
      <c r="E14" s="102" t="str">
        <f>IF('Plano de Auditoria'!$H$6="","",'Plano de Auditoria'!$H$6)</f>
        <v/>
      </c>
      <c r="F14" s="107" t="s">
        <v>116</v>
      </c>
      <c r="G14" s="102" t="s">
        <v>2292</v>
      </c>
      <c r="H14" s="102" t="s">
        <v>2293</v>
      </c>
      <c r="I14" s="102" t="s">
        <v>2294</v>
      </c>
      <c r="J14" s="124">
        <v>3.0</v>
      </c>
      <c r="K14" s="124" t="s">
        <v>2784</v>
      </c>
      <c r="L14" s="124"/>
      <c r="M14" s="124">
        <f t="shared" si="1"/>
        <v>3</v>
      </c>
      <c r="N14" s="124">
        <f t="shared" si="2"/>
        <v>0</v>
      </c>
      <c r="O14" s="114">
        <f t="shared" si="3"/>
        <v>0</v>
      </c>
      <c r="P14" s="102"/>
      <c r="Q14" s="102" t="s">
        <v>2785</v>
      </c>
      <c r="R14" s="112"/>
      <c r="S14" s="102"/>
      <c r="T14" s="102"/>
    </row>
    <row r="15" ht="14.25" customHeight="1">
      <c r="A15" s="102" t="s">
        <v>2783</v>
      </c>
      <c r="B15" s="112" t="str">
        <f>IF('Plano de Auditoria'!$G$6&lt;&gt;"",'Plano de Auditoria'!$G$6,IF('Plano de Auditoria'!$F$6="","",'Plano de Auditoria'!$F$6))</f>
        <v/>
      </c>
      <c r="C15" s="102" t="str">
        <f>IF('Plano de Auditoria'!$B$6="","",'Plano de Auditoria'!$B$6)</f>
        <v>ESCOLA MUNICIPAL PROFESSORA MARIA AUXILIADORA MARTINS GONCALVES</v>
      </c>
      <c r="D15" s="102" t="str">
        <f>IF('Plano de Auditoria'!$C$6="","",'Plano de Auditoria'!$C$6)</f>
        <v>DABEL</v>
      </c>
      <c r="E15" s="102" t="str">
        <f>IF('Plano de Auditoria'!$H$6="","",'Plano de Auditoria'!$H$6)</f>
        <v/>
      </c>
      <c r="F15" s="107" t="s">
        <v>116</v>
      </c>
      <c r="G15" s="102" t="s">
        <v>2292</v>
      </c>
      <c r="H15" s="102" t="s">
        <v>2298</v>
      </c>
      <c r="I15" s="102" t="s">
        <v>2299</v>
      </c>
      <c r="J15" s="124">
        <v>3.0</v>
      </c>
      <c r="K15" s="124" t="s">
        <v>2784</v>
      </c>
      <c r="L15" s="124"/>
      <c r="M15" s="124">
        <f t="shared" si="1"/>
        <v>3</v>
      </c>
      <c r="N15" s="124">
        <f t="shared" si="2"/>
        <v>0</v>
      </c>
      <c r="O15" s="114">
        <f t="shared" si="3"/>
        <v>0</v>
      </c>
      <c r="P15" s="102"/>
      <c r="Q15" s="102" t="s">
        <v>2785</v>
      </c>
      <c r="R15" s="112"/>
      <c r="S15" s="102"/>
      <c r="T15" s="102"/>
    </row>
    <row r="16" ht="14.25" customHeight="1">
      <c r="A16" s="102" t="s">
        <v>2783</v>
      </c>
      <c r="B16" s="112" t="str">
        <f>IF('Plano de Auditoria'!$G$6&lt;&gt;"",'Plano de Auditoria'!$G$6,IF('Plano de Auditoria'!$F$6="","",'Plano de Auditoria'!$F$6))</f>
        <v/>
      </c>
      <c r="C16" s="102" t="str">
        <f>IF('Plano de Auditoria'!$B$6="","",'Plano de Auditoria'!$B$6)</f>
        <v>ESCOLA MUNICIPAL PROFESSORA MARIA AUXILIADORA MARTINS GONCALVES</v>
      </c>
      <c r="D16" s="102" t="str">
        <f>IF('Plano de Auditoria'!$C$6="","",'Plano de Auditoria'!$C$6)</f>
        <v>DABEL</v>
      </c>
      <c r="E16" s="102" t="str">
        <f>IF('Plano de Auditoria'!$H$6="","",'Plano de Auditoria'!$H$6)</f>
        <v/>
      </c>
      <c r="F16" s="107" t="s">
        <v>116</v>
      </c>
      <c r="G16" s="102" t="s">
        <v>2292</v>
      </c>
      <c r="H16" s="102" t="s">
        <v>2303</v>
      </c>
      <c r="I16" s="102" t="s">
        <v>2304</v>
      </c>
      <c r="J16" s="124">
        <v>3.0</v>
      </c>
      <c r="K16" s="124" t="s">
        <v>2784</v>
      </c>
      <c r="L16" s="124"/>
      <c r="M16" s="124">
        <f t="shared" si="1"/>
        <v>3</v>
      </c>
      <c r="N16" s="124">
        <f t="shared" si="2"/>
        <v>0</v>
      </c>
      <c r="O16" s="114">
        <f t="shared" si="3"/>
        <v>0</v>
      </c>
      <c r="P16" s="102"/>
      <c r="Q16" s="102" t="s">
        <v>2785</v>
      </c>
      <c r="R16" s="112"/>
      <c r="S16" s="102"/>
      <c r="T16" s="102"/>
    </row>
    <row r="17" ht="14.25" customHeight="1">
      <c r="A17" s="102" t="s">
        <v>2783</v>
      </c>
      <c r="B17" s="112" t="str">
        <f>IF('Plano de Auditoria'!$G$6&lt;&gt;"",'Plano de Auditoria'!$G$6,IF('Plano de Auditoria'!$F$6="","",'Plano de Auditoria'!$F$6))</f>
        <v/>
      </c>
      <c r="C17" s="102" t="str">
        <f>IF('Plano de Auditoria'!$B$6="","",'Plano de Auditoria'!$B$6)</f>
        <v>ESCOLA MUNICIPAL PROFESSORA MARIA AUXILIADORA MARTINS GONCALVES</v>
      </c>
      <c r="D17" s="102" t="str">
        <f>IF('Plano de Auditoria'!$C$6="","",'Plano de Auditoria'!$C$6)</f>
        <v>DABEL</v>
      </c>
      <c r="E17" s="102" t="str">
        <f>IF('Plano de Auditoria'!$H$6="","",'Plano de Auditoria'!$H$6)</f>
        <v/>
      </c>
      <c r="F17" s="107" t="s">
        <v>116</v>
      </c>
      <c r="G17" s="102" t="s">
        <v>2292</v>
      </c>
      <c r="H17" s="102" t="s">
        <v>2308</v>
      </c>
      <c r="I17" s="102" t="s">
        <v>2309</v>
      </c>
      <c r="J17" s="124">
        <v>2.0</v>
      </c>
      <c r="K17" s="124" t="s">
        <v>2784</v>
      </c>
      <c r="L17" s="124"/>
      <c r="M17" s="124">
        <f t="shared" si="1"/>
        <v>2</v>
      </c>
      <c r="N17" s="124">
        <f t="shared" si="2"/>
        <v>0</v>
      </c>
      <c r="O17" s="114">
        <f t="shared" si="3"/>
        <v>0</v>
      </c>
      <c r="P17" s="102"/>
      <c r="Q17" s="102" t="s">
        <v>2785</v>
      </c>
      <c r="R17" s="112"/>
      <c r="S17" s="102"/>
      <c r="T17" s="102"/>
    </row>
    <row r="18" ht="14.25" customHeight="1">
      <c r="A18" s="102" t="s">
        <v>2783</v>
      </c>
      <c r="B18" s="112" t="str">
        <f>IF('Plano de Auditoria'!$G$6&lt;&gt;"",'Plano de Auditoria'!$G$6,IF('Plano de Auditoria'!$F$6="","",'Plano de Auditoria'!$F$6))</f>
        <v/>
      </c>
      <c r="C18" s="102" t="str">
        <f>IF('Plano de Auditoria'!$B$6="","",'Plano de Auditoria'!$B$6)</f>
        <v>ESCOLA MUNICIPAL PROFESSORA MARIA AUXILIADORA MARTINS GONCALVES</v>
      </c>
      <c r="D18" s="102" t="str">
        <f>IF('Plano de Auditoria'!$C$6="","",'Plano de Auditoria'!$C$6)</f>
        <v>DABEL</v>
      </c>
      <c r="E18" s="102" t="str">
        <f>IF('Plano de Auditoria'!$H$6="","",'Plano de Auditoria'!$H$6)</f>
        <v/>
      </c>
      <c r="F18" s="107" t="s">
        <v>116</v>
      </c>
      <c r="G18" s="102" t="s">
        <v>2292</v>
      </c>
      <c r="H18" s="102" t="s">
        <v>2313</v>
      </c>
      <c r="I18" s="102" t="s">
        <v>2314</v>
      </c>
      <c r="J18" s="124">
        <v>3.0</v>
      </c>
      <c r="K18" s="124" t="s">
        <v>2784</v>
      </c>
      <c r="L18" s="124"/>
      <c r="M18" s="124">
        <f t="shared" si="1"/>
        <v>3</v>
      </c>
      <c r="N18" s="124">
        <f t="shared" si="2"/>
        <v>0</v>
      </c>
      <c r="O18" s="114">
        <f t="shared" si="3"/>
        <v>0</v>
      </c>
      <c r="P18" s="102"/>
      <c r="Q18" s="102" t="s">
        <v>2785</v>
      </c>
      <c r="R18" s="112"/>
      <c r="S18" s="102"/>
      <c r="T18" s="102"/>
    </row>
    <row r="19" ht="14.25" customHeight="1">
      <c r="A19" s="102" t="s">
        <v>2783</v>
      </c>
      <c r="B19" s="112" t="str">
        <f>IF('Plano de Auditoria'!$G$6&lt;&gt;"",'Plano de Auditoria'!$G$6,IF('Plano de Auditoria'!$F$6="","",'Plano de Auditoria'!$F$6))</f>
        <v/>
      </c>
      <c r="C19" s="102" t="str">
        <f>IF('Plano de Auditoria'!$B$6="","",'Plano de Auditoria'!$B$6)</f>
        <v>ESCOLA MUNICIPAL PROFESSORA MARIA AUXILIADORA MARTINS GONCALVES</v>
      </c>
      <c r="D19" s="102" t="str">
        <f>IF('Plano de Auditoria'!$C$6="","",'Plano de Auditoria'!$C$6)</f>
        <v>DABEL</v>
      </c>
      <c r="E19" s="102" t="str">
        <f>IF('Plano de Auditoria'!$H$6="","",'Plano de Auditoria'!$H$6)</f>
        <v/>
      </c>
      <c r="F19" s="107" t="s">
        <v>116</v>
      </c>
      <c r="G19" s="102" t="s">
        <v>2292</v>
      </c>
      <c r="H19" s="102" t="s">
        <v>2318</v>
      </c>
      <c r="I19" s="102" t="s">
        <v>2319</v>
      </c>
      <c r="J19" s="124">
        <v>2.0</v>
      </c>
      <c r="K19" s="124" t="s">
        <v>2784</v>
      </c>
      <c r="L19" s="124"/>
      <c r="M19" s="124">
        <f t="shared" si="1"/>
        <v>2</v>
      </c>
      <c r="N19" s="124">
        <f t="shared" si="2"/>
        <v>0</v>
      </c>
      <c r="O19" s="114">
        <f t="shared" si="3"/>
        <v>0</v>
      </c>
      <c r="P19" s="102"/>
      <c r="Q19" s="102" t="s">
        <v>2785</v>
      </c>
      <c r="R19" s="112"/>
      <c r="S19" s="102"/>
      <c r="T19" s="102"/>
    </row>
    <row r="20" ht="14.25" customHeight="1">
      <c r="A20" s="102" t="s">
        <v>2783</v>
      </c>
      <c r="B20" s="112" t="str">
        <f>IF('Plano de Auditoria'!$G$6&lt;&gt;"",'Plano de Auditoria'!$G$6,IF('Plano de Auditoria'!$F$6="","",'Plano de Auditoria'!$F$6))</f>
        <v/>
      </c>
      <c r="C20" s="102" t="str">
        <f>IF('Plano de Auditoria'!$B$6="","",'Plano de Auditoria'!$B$6)</f>
        <v>ESCOLA MUNICIPAL PROFESSORA MARIA AUXILIADORA MARTINS GONCALVES</v>
      </c>
      <c r="D20" s="102" t="str">
        <f>IF('Plano de Auditoria'!$C$6="","",'Plano de Auditoria'!$C$6)</f>
        <v>DABEL</v>
      </c>
      <c r="E20" s="102" t="str">
        <f>IF('Plano de Auditoria'!$H$6="","",'Plano de Auditoria'!$H$6)</f>
        <v/>
      </c>
      <c r="F20" s="107" t="s">
        <v>116</v>
      </c>
      <c r="G20" s="102" t="s">
        <v>2292</v>
      </c>
      <c r="H20" s="102" t="s">
        <v>2323</v>
      </c>
      <c r="I20" s="102" t="s">
        <v>2324</v>
      </c>
      <c r="J20" s="124">
        <v>1.0</v>
      </c>
      <c r="K20" s="124" t="s">
        <v>2784</v>
      </c>
      <c r="L20" s="124"/>
      <c r="M20" s="124">
        <f t="shared" si="1"/>
        <v>1</v>
      </c>
      <c r="N20" s="124">
        <f t="shared" si="2"/>
        <v>0</v>
      </c>
      <c r="O20" s="114">
        <f t="shared" si="3"/>
        <v>0</v>
      </c>
      <c r="P20" s="102"/>
      <c r="Q20" s="102" t="s">
        <v>2785</v>
      </c>
      <c r="R20" s="112"/>
      <c r="S20" s="102"/>
      <c r="T20" s="102"/>
    </row>
    <row r="21" ht="14.25" customHeight="1">
      <c r="A21" s="102" t="s">
        <v>2783</v>
      </c>
      <c r="B21" s="112" t="str">
        <f>IF('Plano de Auditoria'!$G$6&lt;&gt;"",'Plano de Auditoria'!$G$6,IF('Plano de Auditoria'!$F$6="","",'Plano de Auditoria'!$F$6))</f>
        <v/>
      </c>
      <c r="C21" s="102" t="str">
        <f>IF('Plano de Auditoria'!$B$6="","",'Plano de Auditoria'!$B$6)</f>
        <v>ESCOLA MUNICIPAL PROFESSORA MARIA AUXILIADORA MARTINS GONCALVES</v>
      </c>
      <c r="D21" s="102" t="str">
        <f>IF('Plano de Auditoria'!$C$6="","",'Plano de Auditoria'!$C$6)</f>
        <v>DABEL</v>
      </c>
      <c r="E21" s="102" t="str">
        <f>IF('Plano de Auditoria'!$H$6="","",'Plano de Auditoria'!$H$6)</f>
        <v/>
      </c>
      <c r="F21" s="107" t="s">
        <v>116</v>
      </c>
      <c r="G21" s="102" t="s">
        <v>2292</v>
      </c>
      <c r="H21" s="102" t="s">
        <v>2329</v>
      </c>
      <c r="I21" s="102" t="s">
        <v>2330</v>
      </c>
      <c r="J21" s="124">
        <v>2.0</v>
      </c>
      <c r="K21" s="124" t="s">
        <v>2784</v>
      </c>
      <c r="L21" s="124"/>
      <c r="M21" s="124">
        <f t="shared" si="1"/>
        <v>2</v>
      </c>
      <c r="N21" s="124">
        <f t="shared" si="2"/>
        <v>0</v>
      </c>
      <c r="O21" s="114">
        <f t="shared" si="3"/>
        <v>0</v>
      </c>
      <c r="P21" s="102"/>
      <c r="Q21" s="102" t="s">
        <v>2785</v>
      </c>
      <c r="R21" s="112"/>
      <c r="S21" s="102"/>
      <c r="T21" s="102"/>
    </row>
    <row r="22" ht="14.25" customHeight="1">
      <c r="A22" s="102" t="s">
        <v>2783</v>
      </c>
      <c r="B22" s="112" t="str">
        <f>IF('Plano de Auditoria'!$G$6&lt;&gt;"",'Plano de Auditoria'!$G$6,IF('Plano de Auditoria'!$F$6="","",'Plano de Auditoria'!$F$6))</f>
        <v/>
      </c>
      <c r="C22" s="102" t="str">
        <f>IF('Plano de Auditoria'!$B$6="","",'Plano de Auditoria'!$B$6)</f>
        <v>ESCOLA MUNICIPAL PROFESSORA MARIA AUXILIADORA MARTINS GONCALVES</v>
      </c>
      <c r="D22" s="102" t="str">
        <f>IF('Plano de Auditoria'!$C$6="","",'Plano de Auditoria'!$C$6)</f>
        <v>DABEL</v>
      </c>
      <c r="E22" s="102" t="str">
        <f>IF('Plano de Auditoria'!$H$6="","",'Plano de Auditoria'!$H$6)</f>
        <v/>
      </c>
      <c r="F22" s="107" t="s">
        <v>116</v>
      </c>
      <c r="G22" s="102" t="s">
        <v>2334</v>
      </c>
      <c r="H22" s="102" t="s">
        <v>2335</v>
      </c>
      <c r="I22" s="102" t="s">
        <v>2336</v>
      </c>
      <c r="J22" s="124">
        <v>3.0</v>
      </c>
      <c r="K22" s="124" t="s">
        <v>2784</v>
      </c>
      <c r="L22" s="124"/>
      <c r="M22" s="124">
        <f t="shared" si="1"/>
        <v>3</v>
      </c>
      <c r="N22" s="124">
        <f t="shared" si="2"/>
        <v>0</v>
      </c>
      <c r="O22" s="114">
        <f t="shared" si="3"/>
        <v>0</v>
      </c>
      <c r="P22" s="102"/>
      <c r="Q22" s="102" t="s">
        <v>2785</v>
      </c>
      <c r="R22" s="112"/>
      <c r="S22" s="102"/>
      <c r="T22" s="102"/>
    </row>
    <row r="23" ht="14.25" customHeight="1">
      <c r="A23" s="102" t="s">
        <v>2783</v>
      </c>
      <c r="B23" s="112" t="str">
        <f>IF('Plano de Auditoria'!$G$6&lt;&gt;"",'Plano de Auditoria'!$G$6,IF('Plano de Auditoria'!$F$6="","",'Plano de Auditoria'!$F$6))</f>
        <v/>
      </c>
      <c r="C23" s="102" t="str">
        <f>IF('Plano de Auditoria'!$B$6="","",'Plano de Auditoria'!$B$6)</f>
        <v>ESCOLA MUNICIPAL PROFESSORA MARIA AUXILIADORA MARTINS GONCALVES</v>
      </c>
      <c r="D23" s="102" t="str">
        <f>IF('Plano de Auditoria'!$C$6="","",'Plano de Auditoria'!$C$6)</f>
        <v>DABEL</v>
      </c>
      <c r="E23" s="102" t="str">
        <f>IF('Plano de Auditoria'!$H$6="","",'Plano de Auditoria'!$H$6)</f>
        <v/>
      </c>
      <c r="F23" s="107" t="s">
        <v>116</v>
      </c>
      <c r="G23" s="102" t="s">
        <v>2334</v>
      </c>
      <c r="H23" s="102" t="s">
        <v>2341</v>
      </c>
      <c r="I23" s="102" t="s">
        <v>2342</v>
      </c>
      <c r="J23" s="124">
        <v>3.0</v>
      </c>
      <c r="K23" s="124" t="s">
        <v>2784</v>
      </c>
      <c r="L23" s="124"/>
      <c r="M23" s="124">
        <f t="shared" si="1"/>
        <v>3</v>
      </c>
      <c r="N23" s="124">
        <f t="shared" si="2"/>
        <v>0</v>
      </c>
      <c r="O23" s="114">
        <f t="shared" si="3"/>
        <v>0</v>
      </c>
      <c r="P23" s="102"/>
      <c r="Q23" s="102" t="s">
        <v>2785</v>
      </c>
      <c r="R23" s="112"/>
      <c r="S23" s="102"/>
      <c r="T23" s="102"/>
    </row>
    <row r="24" ht="14.25" customHeight="1">
      <c r="A24" s="102" t="s">
        <v>2783</v>
      </c>
      <c r="B24" s="112" t="str">
        <f>IF('Plano de Auditoria'!$G$6&lt;&gt;"",'Plano de Auditoria'!$G$6,IF('Plano de Auditoria'!$F$6="","",'Plano de Auditoria'!$F$6))</f>
        <v/>
      </c>
      <c r="C24" s="102" t="str">
        <f>IF('Plano de Auditoria'!$B$6="","",'Plano de Auditoria'!$B$6)</f>
        <v>ESCOLA MUNICIPAL PROFESSORA MARIA AUXILIADORA MARTINS GONCALVES</v>
      </c>
      <c r="D24" s="102" t="str">
        <f>IF('Plano de Auditoria'!$C$6="","",'Plano de Auditoria'!$C$6)</f>
        <v>DABEL</v>
      </c>
      <c r="E24" s="102" t="str">
        <f>IF('Plano de Auditoria'!$H$6="","",'Plano de Auditoria'!$H$6)</f>
        <v/>
      </c>
      <c r="F24" s="107" t="s">
        <v>116</v>
      </c>
      <c r="G24" s="102" t="s">
        <v>2334</v>
      </c>
      <c r="H24" s="102" t="s">
        <v>2347</v>
      </c>
      <c r="I24" s="102" t="s">
        <v>2348</v>
      </c>
      <c r="J24" s="124">
        <v>2.0</v>
      </c>
      <c r="K24" s="124" t="s">
        <v>2784</v>
      </c>
      <c r="L24" s="124"/>
      <c r="M24" s="124">
        <f t="shared" si="1"/>
        <v>2</v>
      </c>
      <c r="N24" s="124">
        <f t="shared" si="2"/>
        <v>0</v>
      </c>
      <c r="O24" s="114">
        <f t="shared" si="3"/>
        <v>0</v>
      </c>
      <c r="P24" s="102"/>
      <c r="Q24" s="102" t="s">
        <v>2785</v>
      </c>
      <c r="R24" s="112"/>
      <c r="S24" s="102"/>
      <c r="T24" s="102"/>
    </row>
    <row r="25" ht="14.25" customHeight="1">
      <c r="A25" s="102" t="s">
        <v>2783</v>
      </c>
      <c r="B25" s="112" t="str">
        <f>IF('Plano de Auditoria'!$G$6&lt;&gt;"",'Plano de Auditoria'!$G$6,IF('Plano de Auditoria'!$F$6="","",'Plano de Auditoria'!$F$6))</f>
        <v/>
      </c>
      <c r="C25" s="102" t="str">
        <f>IF('Plano de Auditoria'!$B$6="","",'Plano de Auditoria'!$B$6)</f>
        <v>ESCOLA MUNICIPAL PROFESSORA MARIA AUXILIADORA MARTINS GONCALVES</v>
      </c>
      <c r="D25" s="102" t="str">
        <f>IF('Plano de Auditoria'!$C$6="","",'Plano de Auditoria'!$C$6)</f>
        <v>DABEL</v>
      </c>
      <c r="E25" s="102" t="str">
        <f>IF('Plano de Auditoria'!$H$6="","",'Plano de Auditoria'!$H$6)</f>
        <v/>
      </c>
      <c r="F25" s="107" t="s">
        <v>116</v>
      </c>
      <c r="G25" s="102" t="s">
        <v>2334</v>
      </c>
      <c r="H25" s="102" t="s">
        <v>2353</v>
      </c>
      <c r="I25" s="102" t="s">
        <v>2354</v>
      </c>
      <c r="J25" s="124">
        <v>2.0</v>
      </c>
      <c r="K25" s="124" t="s">
        <v>2784</v>
      </c>
      <c r="L25" s="124"/>
      <c r="M25" s="124">
        <f t="shared" si="1"/>
        <v>2</v>
      </c>
      <c r="N25" s="124">
        <f t="shared" si="2"/>
        <v>0</v>
      </c>
      <c r="O25" s="114">
        <f t="shared" si="3"/>
        <v>0</v>
      </c>
      <c r="P25" s="102"/>
      <c r="Q25" s="102" t="s">
        <v>2785</v>
      </c>
      <c r="R25" s="112"/>
      <c r="S25" s="102"/>
      <c r="T25" s="102"/>
    </row>
    <row r="26" ht="14.25" customHeight="1">
      <c r="A26" s="102" t="s">
        <v>2783</v>
      </c>
      <c r="B26" s="112" t="str">
        <f>IF('Plano de Auditoria'!$G$6&lt;&gt;"",'Plano de Auditoria'!$G$6,IF('Plano de Auditoria'!$F$6="","",'Plano de Auditoria'!$F$6))</f>
        <v/>
      </c>
      <c r="C26" s="102" t="str">
        <f>IF('Plano de Auditoria'!$B$6="","",'Plano de Auditoria'!$B$6)</f>
        <v>ESCOLA MUNICIPAL PROFESSORA MARIA AUXILIADORA MARTINS GONCALVES</v>
      </c>
      <c r="D26" s="102" t="str">
        <f>IF('Plano de Auditoria'!$C$6="","",'Plano de Auditoria'!$C$6)</f>
        <v>DABEL</v>
      </c>
      <c r="E26" s="102" t="str">
        <f>IF('Plano de Auditoria'!$H$6="","",'Plano de Auditoria'!$H$6)</f>
        <v/>
      </c>
      <c r="F26" s="107" t="s">
        <v>116</v>
      </c>
      <c r="G26" s="102" t="s">
        <v>2334</v>
      </c>
      <c r="H26" s="102" t="s">
        <v>2358</v>
      </c>
      <c r="I26" s="102" t="s">
        <v>2359</v>
      </c>
      <c r="J26" s="124">
        <v>2.0</v>
      </c>
      <c r="K26" s="124" t="s">
        <v>2784</v>
      </c>
      <c r="L26" s="124"/>
      <c r="M26" s="124">
        <f t="shared" si="1"/>
        <v>2</v>
      </c>
      <c r="N26" s="124">
        <f t="shared" si="2"/>
        <v>0</v>
      </c>
      <c r="O26" s="114">
        <f t="shared" si="3"/>
        <v>0</v>
      </c>
      <c r="P26" s="102"/>
      <c r="Q26" s="102" t="s">
        <v>2785</v>
      </c>
      <c r="R26" s="112"/>
      <c r="S26" s="102"/>
      <c r="T26" s="102"/>
    </row>
    <row r="27" ht="14.25" customHeight="1">
      <c r="A27" s="102" t="s">
        <v>2783</v>
      </c>
      <c r="B27" s="112" t="str">
        <f>IF('Plano de Auditoria'!$G$6&lt;&gt;"",'Plano de Auditoria'!$G$6,IF('Plano de Auditoria'!$F$6="","",'Plano de Auditoria'!$F$6))</f>
        <v/>
      </c>
      <c r="C27" s="102" t="str">
        <f>IF('Plano de Auditoria'!$B$6="","",'Plano de Auditoria'!$B$6)</f>
        <v>ESCOLA MUNICIPAL PROFESSORA MARIA AUXILIADORA MARTINS GONCALVES</v>
      </c>
      <c r="D27" s="102" t="str">
        <f>IF('Plano de Auditoria'!$C$6="","",'Plano de Auditoria'!$C$6)</f>
        <v>DABEL</v>
      </c>
      <c r="E27" s="102" t="str">
        <f>IF('Plano de Auditoria'!$H$6="","",'Plano de Auditoria'!$H$6)</f>
        <v/>
      </c>
      <c r="F27" s="107" t="s">
        <v>116</v>
      </c>
      <c r="G27" s="102" t="s">
        <v>2334</v>
      </c>
      <c r="H27" s="102" t="s">
        <v>2364</v>
      </c>
      <c r="I27" s="102" t="s">
        <v>2365</v>
      </c>
      <c r="J27" s="124">
        <v>3.0</v>
      </c>
      <c r="K27" s="124" t="s">
        <v>2784</v>
      </c>
      <c r="L27" s="124"/>
      <c r="M27" s="124">
        <f t="shared" si="1"/>
        <v>3</v>
      </c>
      <c r="N27" s="124">
        <f t="shared" si="2"/>
        <v>0</v>
      </c>
      <c r="O27" s="114">
        <f t="shared" si="3"/>
        <v>0</v>
      </c>
      <c r="P27" s="102"/>
      <c r="Q27" s="102" t="s">
        <v>2785</v>
      </c>
      <c r="R27" s="112"/>
      <c r="S27" s="102"/>
      <c r="T27" s="102"/>
    </row>
    <row r="28" ht="14.25" customHeight="1">
      <c r="A28" s="102" t="s">
        <v>2783</v>
      </c>
      <c r="B28" s="112" t="str">
        <f>IF('Plano de Auditoria'!$G$6&lt;&gt;"",'Plano de Auditoria'!$G$6,IF('Plano de Auditoria'!$F$6="","",'Plano de Auditoria'!$F$6))</f>
        <v/>
      </c>
      <c r="C28" s="102" t="str">
        <f>IF('Plano de Auditoria'!$B$6="","",'Plano de Auditoria'!$B$6)</f>
        <v>ESCOLA MUNICIPAL PROFESSORA MARIA AUXILIADORA MARTINS GONCALVES</v>
      </c>
      <c r="D28" s="102" t="str">
        <f>IF('Plano de Auditoria'!$C$6="","",'Plano de Auditoria'!$C$6)</f>
        <v>DABEL</v>
      </c>
      <c r="E28" s="102" t="str">
        <f>IF('Plano de Auditoria'!$H$6="","",'Plano de Auditoria'!$H$6)</f>
        <v/>
      </c>
      <c r="F28" s="107" t="s">
        <v>116</v>
      </c>
      <c r="G28" s="102" t="s">
        <v>2334</v>
      </c>
      <c r="H28" s="102" t="s">
        <v>2370</v>
      </c>
      <c r="I28" s="102" t="s">
        <v>2371</v>
      </c>
      <c r="J28" s="124">
        <v>2.0</v>
      </c>
      <c r="K28" s="124" t="s">
        <v>2784</v>
      </c>
      <c r="L28" s="124"/>
      <c r="M28" s="124">
        <f t="shared" si="1"/>
        <v>2</v>
      </c>
      <c r="N28" s="124">
        <f t="shared" si="2"/>
        <v>0</v>
      </c>
      <c r="O28" s="114">
        <f t="shared" si="3"/>
        <v>0</v>
      </c>
      <c r="P28" s="102"/>
      <c r="Q28" s="102" t="s">
        <v>2785</v>
      </c>
      <c r="R28" s="112"/>
      <c r="S28" s="102"/>
      <c r="T28" s="102"/>
    </row>
    <row r="29" ht="14.25" customHeight="1">
      <c r="A29" s="102" t="s">
        <v>2783</v>
      </c>
      <c r="B29" s="112" t="str">
        <f>IF('Plano de Auditoria'!$G$6&lt;&gt;"",'Plano de Auditoria'!$G$6,IF('Plano de Auditoria'!$F$6="","",'Plano de Auditoria'!$F$6))</f>
        <v/>
      </c>
      <c r="C29" s="102" t="str">
        <f>IF('Plano de Auditoria'!$B$6="","",'Plano de Auditoria'!$B$6)</f>
        <v>ESCOLA MUNICIPAL PROFESSORA MARIA AUXILIADORA MARTINS GONCALVES</v>
      </c>
      <c r="D29" s="102" t="str">
        <f>IF('Plano de Auditoria'!$C$6="","",'Plano de Auditoria'!$C$6)</f>
        <v>DABEL</v>
      </c>
      <c r="E29" s="102" t="str">
        <f>IF('Plano de Auditoria'!$H$6="","",'Plano de Auditoria'!$H$6)</f>
        <v/>
      </c>
      <c r="F29" s="107" t="s">
        <v>116</v>
      </c>
      <c r="G29" s="102" t="s">
        <v>2334</v>
      </c>
      <c r="H29" s="102" t="s">
        <v>2376</v>
      </c>
      <c r="I29" s="102" t="s">
        <v>2377</v>
      </c>
      <c r="J29" s="124">
        <v>2.0</v>
      </c>
      <c r="K29" s="124" t="s">
        <v>2784</v>
      </c>
      <c r="L29" s="124"/>
      <c r="M29" s="124">
        <f t="shared" si="1"/>
        <v>2</v>
      </c>
      <c r="N29" s="124">
        <f t="shared" si="2"/>
        <v>0</v>
      </c>
      <c r="O29" s="114">
        <f t="shared" si="3"/>
        <v>0</v>
      </c>
      <c r="P29" s="102"/>
      <c r="Q29" s="102" t="s">
        <v>2785</v>
      </c>
      <c r="R29" s="112"/>
      <c r="S29" s="102"/>
      <c r="T29" s="102"/>
    </row>
    <row r="30" ht="14.25" customHeight="1">
      <c r="A30" s="102" t="s">
        <v>2783</v>
      </c>
      <c r="B30" s="112" t="str">
        <f>IF('Plano de Auditoria'!$G$6&lt;&gt;"",'Plano de Auditoria'!$G$6,IF('Plano de Auditoria'!$F$6="","",'Plano de Auditoria'!$F$6))</f>
        <v/>
      </c>
      <c r="C30" s="102" t="str">
        <f>IF('Plano de Auditoria'!$B$6="","",'Plano de Auditoria'!$B$6)</f>
        <v>ESCOLA MUNICIPAL PROFESSORA MARIA AUXILIADORA MARTINS GONCALVES</v>
      </c>
      <c r="D30" s="102" t="str">
        <f>IF('Plano de Auditoria'!$C$6="","",'Plano de Auditoria'!$C$6)</f>
        <v>DABEL</v>
      </c>
      <c r="E30" s="102" t="str">
        <f>IF('Plano de Auditoria'!$H$6="","",'Plano de Auditoria'!$H$6)</f>
        <v/>
      </c>
      <c r="F30" s="107" t="s">
        <v>116</v>
      </c>
      <c r="G30" s="102" t="s">
        <v>2334</v>
      </c>
      <c r="H30" s="102" t="s">
        <v>2381</v>
      </c>
      <c r="I30" s="102" t="s">
        <v>2382</v>
      </c>
      <c r="J30" s="124">
        <v>3.0</v>
      </c>
      <c r="K30" s="124" t="s">
        <v>2784</v>
      </c>
      <c r="L30" s="124"/>
      <c r="M30" s="124">
        <f t="shared" si="1"/>
        <v>3</v>
      </c>
      <c r="N30" s="124">
        <f t="shared" si="2"/>
        <v>0</v>
      </c>
      <c r="O30" s="114">
        <f t="shared" si="3"/>
        <v>0</v>
      </c>
      <c r="P30" s="102"/>
      <c r="Q30" s="102" t="s">
        <v>2785</v>
      </c>
      <c r="R30" s="112"/>
      <c r="S30" s="102"/>
      <c r="T30" s="102"/>
    </row>
    <row r="31" ht="14.25" customHeight="1">
      <c r="A31" s="102" t="s">
        <v>2783</v>
      </c>
      <c r="B31" s="112" t="str">
        <f>IF('Plano de Auditoria'!$G$6&lt;&gt;"",'Plano de Auditoria'!$G$6,IF('Plano de Auditoria'!$F$6="","",'Plano de Auditoria'!$F$6))</f>
        <v/>
      </c>
      <c r="C31" s="102" t="str">
        <f>IF('Plano de Auditoria'!$B$6="","",'Plano de Auditoria'!$B$6)</f>
        <v>ESCOLA MUNICIPAL PROFESSORA MARIA AUXILIADORA MARTINS GONCALVES</v>
      </c>
      <c r="D31" s="102" t="str">
        <f>IF('Plano de Auditoria'!$C$6="","",'Plano de Auditoria'!$C$6)</f>
        <v>DABEL</v>
      </c>
      <c r="E31" s="102" t="str">
        <f>IF('Plano de Auditoria'!$H$6="","",'Plano de Auditoria'!$H$6)</f>
        <v/>
      </c>
      <c r="F31" s="107" t="s">
        <v>116</v>
      </c>
      <c r="G31" s="102" t="s">
        <v>2388</v>
      </c>
      <c r="H31" s="102" t="s">
        <v>2389</v>
      </c>
      <c r="I31" s="102" t="s">
        <v>2390</v>
      </c>
      <c r="J31" s="124">
        <v>2.0</v>
      </c>
      <c r="K31" s="124" t="s">
        <v>2784</v>
      </c>
      <c r="L31" s="124"/>
      <c r="M31" s="124">
        <f t="shared" si="1"/>
        <v>2</v>
      </c>
      <c r="N31" s="124">
        <f t="shared" si="2"/>
        <v>0</v>
      </c>
      <c r="O31" s="114">
        <f t="shared" si="3"/>
        <v>0</v>
      </c>
      <c r="P31" s="102"/>
      <c r="Q31" s="102" t="s">
        <v>2785</v>
      </c>
      <c r="R31" s="112"/>
      <c r="S31" s="102"/>
      <c r="T31" s="102"/>
    </row>
    <row r="32" ht="14.25" customHeight="1">
      <c r="A32" s="102" t="s">
        <v>2783</v>
      </c>
      <c r="B32" s="112" t="str">
        <f>IF('Plano de Auditoria'!$G$6&lt;&gt;"",'Plano de Auditoria'!$G$6,IF('Plano de Auditoria'!$F$6="","",'Plano de Auditoria'!$F$6))</f>
        <v/>
      </c>
      <c r="C32" s="102" t="str">
        <f>IF('Plano de Auditoria'!$B$6="","",'Plano de Auditoria'!$B$6)</f>
        <v>ESCOLA MUNICIPAL PROFESSORA MARIA AUXILIADORA MARTINS GONCALVES</v>
      </c>
      <c r="D32" s="102" t="str">
        <f>IF('Plano de Auditoria'!$C$6="","",'Plano de Auditoria'!$C$6)</f>
        <v>DABEL</v>
      </c>
      <c r="E32" s="102" t="str">
        <f>IF('Plano de Auditoria'!$H$6="","",'Plano de Auditoria'!$H$6)</f>
        <v/>
      </c>
      <c r="F32" s="107" t="s">
        <v>116</v>
      </c>
      <c r="G32" s="102" t="s">
        <v>2388</v>
      </c>
      <c r="H32" s="102" t="s">
        <v>2395</v>
      </c>
      <c r="I32" s="102" t="s">
        <v>2396</v>
      </c>
      <c r="J32" s="124">
        <v>2.0</v>
      </c>
      <c r="K32" s="124" t="s">
        <v>2784</v>
      </c>
      <c r="L32" s="124"/>
      <c r="M32" s="124">
        <f t="shared" si="1"/>
        <v>2</v>
      </c>
      <c r="N32" s="124">
        <f t="shared" si="2"/>
        <v>0</v>
      </c>
      <c r="O32" s="114">
        <f t="shared" si="3"/>
        <v>0</v>
      </c>
      <c r="P32" s="102"/>
      <c r="Q32" s="102" t="s">
        <v>2785</v>
      </c>
      <c r="R32" s="112"/>
      <c r="S32" s="102"/>
      <c r="T32" s="102"/>
    </row>
    <row r="33" ht="14.25" customHeight="1">
      <c r="A33" s="102" t="s">
        <v>2783</v>
      </c>
      <c r="B33" s="112" t="str">
        <f>IF('Plano de Auditoria'!$G$6&lt;&gt;"",'Plano de Auditoria'!$G$6,IF('Plano de Auditoria'!$F$6="","",'Plano de Auditoria'!$F$6))</f>
        <v/>
      </c>
      <c r="C33" s="102" t="str">
        <f>IF('Plano de Auditoria'!$B$6="","",'Plano de Auditoria'!$B$6)</f>
        <v>ESCOLA MUNICIPAL PROFESSORA MARIA AUXILIADORA MARTINS GONCALVES</v>
      </c>
      <c r="D33" s="102" t="str">
        <f>IF('Plano de Auditoria'!$C$6="","",'Plano de Auditoria'!$C$6)</f>
        <v>DABEL</v>
      </c>
      <c r="E33" s="102" t="str">
        <f>IF('Plano de Auditoria'!$H$6="","",'Plano de Auditoria'!$H$6)</f>
        <v/>
      </c>
      <c r="F33" s="107" t="s">
        <v>116</v>
      </c>
      <c r="G33" s="102" t="s">
        <v>2388</v>
      </c>
      <c r="H33" s="102" t="s">
        <v>2401</v>
      </c>
      <c r="I33" s="102" t="s">
        <v>2402</v>
      </c>
      <c r="J33" s="124">
        <v>3.0</v>
      </c>
      <c r="K33" s="125" t="s">
        <v>2784</v>
      </c>
      <c r="L33" s="124"/>
      <c r="M33" s="124">
        <f t="shared" si="1"/>
        <v>3</v>
      </c>
      <c r="N33" s="124">
        <f t="shared" si="2"/>
        <v>0</v>
      </c>
      <c r="O33" s="114">
        <f t="shared" si="3"/>
        <v>0</v>
      </c>
      <c r="P33" s="102"/>
      <c r="Q33" s="102" t="s">
        <v>2785</v>
      </c>
      <c r="R33" s="112"/>
      <c r="S33" s="102"/>
      <c r="T33" s="102"/>
    </row>
    <row r="34" ht="14.25" customHeight="1">
      <c r="A34" s="102" t="s">
        <v>2783</v>
      </c>
      <c r="B34" s="112" t="str">
        <f>IF('Plano de Auditoria'!$G$6&lt;&gt;"",'Plano de Auditoria'!$G$6,IF('Plano de Auditoria'!$F$6="","",'Plano de Auditoria'!$F$6))</f>
        <v/>
      </c>
      <c r="C34" s="102" t="str">
        <f>IF('Plano de Auditoria'!$B$6="","",'Plano de Auditoria'!$B$6)</f>
        <v>ESCOLA MUNICIPAL PROFESSORA MARIA AUXILIADORA MARTINS GONCALVES</v>
      </c>
      <c r="D34" s="102" t="str">
        <f>IF('Plano de Auditoria'!$C$6="","",'Plano de Auditoria'!$C$6)</f>
        <v>DABEL</v>
      </c>
      <c r="E34" s="102" t="str">
        <f>IF('Plano de Auditoria'!$H$6="","",'Plano de Auditoria'!$H$6)</f>
        <v/>
      </c>
      <c r="F34" s="107" t="s">
        <v>116</v>
      </c>
      <c r="G34" s="102" t="s">
        <v>2388</v>
      </c>
      <c r="H34" s="102" t="s">
        <v>2407</v>
      </c>
      <c r="I34" s="102" t="s">
        <v>2408</v>
      </c>
      <c r="J34" s="124">
        <v>2.0</v>
      </c>
      <c r="K34" s="124" t="s">
        <v>2784</v>
      </c>
      <c r="L34" s="124"/>
      <c r="M34" s="124">
        <f t="shared" si="1"/>
        <v>2</v>
      </c>
      <c r="N34" s="124">
        <f t="shared" si="2"/>
        <v>0</v>
      </c>
      <c r="O34" s="114">
        <f t="shared" si="3"/>
        <v>0</v>
      </c>
      <c r="P34" s="102"/>
      <c r="Q34" s="102" t="s">
        <v>2785</v>
      </c>
      <c r="R34" s="112"/>
      <c r="S34" s="102"/>
      <c r="T34" s="102"/>
    </row>
    <row r="35" ht="14.25" customHeight="1">
      <c r="A35" s="102" t="s">
        <v>2783</v>
      </c>
      <c r="B35" s="112" t="str">
        <f>IF('Plano de Auditoria'!$G$6&lt;&gt;"",'Plano de Auditoria'!$G$6,IF('Plano de Auditoria'!$F$6="","",'Plano de Auditoria'!$F$6))</f>
        <v/>
      </c>
      <c r="C35" s="102" t="str">
        <f>IF('Plano de Auditoria'!$B$6="","",'Plano de Auditoria'!$B$6)</f>
        <v>ESCOLA MUNICIPAL PROFESSORA MARIA AUXILIADORA MARTINS GONCALVES</v>
      </c>
      <c r="D35" s="102" t="str">
        <f>IF('Plano de Auditoria'!$C$6="","",'Plano de Auditoria'!$C$6)</f>
        <v>DABEL</v>
      </c>
      <c r="E35" s="102" t="str">
        <f>IF('Plano de Auditoria'!$H$6="","",'Plano de Auditoria'!$H$6)</f>
        <v/>
      </c>
      <c r="F35" s="107" t="s">
        <v>116</v>
      </c>
      <c r="G35" s="102" t="s">
        <v>2388</v>
      </c>
      <c r="H35" s="102" t="s">
        <v>2412</v>
      </c>
      <c r="I35" s="102" t="s">
        <v>2413</v>
      </c>
      <c r="J35" s="124">
        <v>2.0</v>
      </c>
      <c r="K35" s="125" t="s">
        <v>2784</v>
      </c>
      <c r="L35" s="124"/>
      <c r="M35" s="124">
        <f t="shared" si="1"/>
        <v>2</v>
      </c>
      <c r="N35" s="124">
        <f t="shared" si="2"/>
        <v>0</v>
      </c>
      <c r="O35" s="114">
        <f t="shared" si="3"/>
        <v>0</v>
      </c>
      <c r="P35" s="102"/>
      <c r="Q35" s="102" t="s">
        <v>2785</v>
      </c>
      <c r="R35" s="112"/>
      <c r="S35" s="102"/>
      <c r="T35" s="102"/>
    </row>
    <row r="36" ht="14.25" customHeight="1">
      <c r="A36" s="102" t="s">
        <v>2783</v>
      </c>
      <c r="B36" s="112" t="str">
        <f>IF('Plano de Auditoria'!$G$6&lt;&gt;"",'Plano de Auditoria'!$G$6,IF('Plano de Auditoria'!$F$6="","",'Plano de Auditoria'!$F$6))</f>
        <v/>
      </c>
      <c r="C36" s="102" t="str">
        <f>IF('Plano de Auditoria'!$B$6="","",'Plano de Auditoria'!$B$6)</f>
        <v>ESCOLA MUNICIPAL PROFESSORA MARIA AUXILIADORA MARTINS GONCALVES</v>
      </c>
      <c r="D36" s="102" t="str">
        <f>IF('Plano de Auditoria'!$C$6="","",'Plano de Auditoria'!$C$6)</f>
        <v>DABEL</v>
      </c>
      <c r="E36" s="102" t="str">
        <f>IF('Plano de Auditoria'!$H$6="","",'Plano de Auditoria'!$H$6)</f>
        <v/>
      </c>
      <c r="F36" s="107" t="s">
        <v>116</v>
      </c>
      <c r="G36" s="102" t="s">
        <v>2417</v>
      </c>
      <c r="H36" s="102" t="s">
        <v>2418</v>
      </c>
      <c r="I36" s="102" t="s">
        <v>2419</v>
      </c>
      <c r="J36" s="124">
        <v>3.0</v>
      </c>
      <c r="K36" s="124" t="s">
        <v>2784</v>
      </c>
      <c r="L36" s="124"/>
      <c r="M36" s="124">
        <f t="shared" si="1"/>
        <v>3</v>
      </c>
      <c r="N36" s="124">
        <f t="shared" si="2"/>
        <v>0</v>
      </c>
      <c r="O36" s="114">
        <f t="shared" si="3"/>
        <v>0</v>
      </c>
      <c r="P36" s="102"/>
      <c r="Q36" s="102" t="s">
        <v>2785</v>
      </c>
      <c r="R36" s="112"/>
      <c r="S36" s="102"/>
      <c r="T36" s="102"/>
    </row>
    <row r="37" ht="14.25" customHeight="1">
      <c r="A37" s="102" t="s">
        <v>2783</v>
      </c>
      <c r="B37" s="112" t="str">
        <f>IF('Plano de Auditoria'!$G$6&lt;&gt;"",'Plano de Auditoria'!$G$6,IF('Plano de Auditoria'!$F$6="","",'Plano de Auditoria'!$F$6))</f>
        <v/>
      </c>
      <c r="C37" s="102" t="str">
        <f>IF('Plano de Auditoria'!$B$6="","",'Plano de Auditoria'!$B$6)</f>
        <v>ESCOLA MUNICIPAL PROFESSORA MARIA AUXILIADORA MARTINS GONCALVES</v>
      </c>
      <c r="D37" s="102" t="str">
        <f>IF('Plano de Auditoria'!$C$6="","",'Plano de Auditoria'!$C$6)</f>
        <v>DABEL</v>
      </c>
      <c r="E37" s="102" t="str">
        <f>IF('Plano de Auditoria'!$H$6="","",'Plano de Auditoria'!$H$6)</f>
        <v/>
      </c>
      <c r="F37" s="107" t="s">
        <v>116</v>
      </c>
      <c r="G37" s="102" t="s">
        <v>2417</v>
      </c>
      <c r="H37" s="102" t="s">
        <v>2318</v>
      </c>
      <c r="I37" s="102" t="s">
        <v>2423</v>
      </c>
      <c r="J37" s="124">
        <v>2.0</v>
      </c>
      <c r="K37" s="124" t="s">
        <v>2784</v>
      </c>
      <c r="L37" s="124"/>
      <c r="M37" s="124">
        <f t="shared" si="1"/>
        <v>2</v>
      </c>
      <c r="N37" s="124">
        <f t="shared" si="2"/>
        <v>0</v>
      </c>
      <c r="O37" s="114">
        <f t="shared" si="3"/>
        <v>0</v>
      </c>
      <c r="P37" s="102"/>
      <c r="Q37" s="102" t="s">
        <v>2785</v>
      </c>
      <c r="R37" s="112"/>
      <c r="S37" s="102"/>
      <c r="T37" s="102"/>
    </row>
    <row r="38" ht="14.25" customHeight="1">
      <c r="A38" s="102" t="s">
        <v>2783</v>
      </c>
      <c r="B38" s="112" t="str">
        <f>IF('Plano de Auditoria'!$G$6&lt;&gt;"",'Plano de Auditoria'!$G$6,IF('Plano de Auditoria'!$F$6="","",'Plano de Auditoria'!$F$6))</f>
        <v/>
      </c>
      <c r="C38" s="102" t="str">
        <f>IF('Plano de Auditoria'!$B$6="","",'Plano de Auditoria'!$B$6)</f>
        <v>ESCOLA MUNICIPAL PROFESSORA MARIA AUXILIADORA MARTINS GONCALVES</v>
      </c>
      <c r="D38" s="102" t="str">
        <f>IF('Plano de Auditoria'!$C$6="","",'Plano de Auditoria'!$C$6)</f>
        <v>DABEL</v>
      </c>
      <c r="E38" s="102" t="str">
        <f>IF('Plano de Auditoria'!$H$6="","",'Plano de Auditoria'!$H$6)</f>
        <v/>
      </c>
      <c r="F38" s="107" t="s">
        <v>116</v>
      </c>
      <c r="G38" s="102" t="s">
        <v>2417</v>
      </c>
      <c r="H38" s="102" t="s">
        <v>2427</v>
      </c>
      <c r="I38" s="102" t="s">
        <v>2428</v>
      </c>
      <c r="J38" s="124">
        <v>2.0</v>
      </c>
      <c r="K38" s="125" t="s">
        <v>2784</v>
      </c>
      <c r="L38" s="124"/>
      <c r="M38" s="124">
        <f t="shared" si="1"/>
        <v>2</v>
      </c>
      <c r="N38" s="124">
        <f t="shared" si="2"/>
        <v>0</v>
      </c>
      <c r="O38" s="114">
        <f t="shared" si="3"/>
        <v>0</v>
      </c>
      <c r="P38" s="102"/>
      <c r="Q38" s="102" t="s">
        <v>2785</v>
      </c>
      <c r="R38" s="112"/>
      <c r="S38" s="102"/>
      <c r="T38" s="102"/>
    </row>
    <row r="39" ht="14.25" customHeight="1">
      <c r="A39" s="102" t="s">
        <v>2783</v>
      </c>
      <c r="B39" s="112" t="str">
        <f>IF('Plano de Auditoria'!$G$6&lt;&gt;"",'Plano de Auditoria'!$G$6,IF('Plano de Auditoria'!$F$6="","",'Plano de Auditoria'!$F$6))</f>
        <v/>
      </c>
      <c r="C39" s="102" t="str">
        <f>IF('Plano de Auditoria'!$B$6="","",'Plano de Auditoria'!$B$6)</f>
        <v>ESCOLA MUNICIPAL PROFESSORA MARIA AUXILIADORA MARTINS GONCALVES</v>
      </c>
      <c r="D39" s="102" t="str">
        <f>IF('Plano de Auditoria'!$C$6="","",'Plano de Auditoria'!$C$6)</f>
        <v>DABEL</v>
      </c>
      <c r="E39" s="102" t="str">
        <f>IF('Plano de Auditoria'!$H$6="","",'Plano de Auditoria'!$H$6)</f>
        <v/>
      </c>
      <c r="F39" s="107" t="s">
        <v>116</v>
      </c>
      <c r="G39" s="102" t="s">
        <v>2417</v>
      </c>
      <c r="H39" s="102" t="s">
        <v>2433</v>
      </c>
      <c r="I39" s="102" t="s">
        <v>2434</v>
      </c>
      <c r="J39" s="124">
        <v>1.0</v>
      </c>
      <c r="K39" s="124" t="s">
        <v>2784</v>
      </c>
      <c r="L39" s="124"/>
      <c r="M39" s="124">
        <f t="shared" si="1"/>
        <v>1</v>
      </c>
      <c r="N39" s="124">
        <f t="shared" si="2"/>
        <v>0</v>
      </c>
      <c r="O39" s="114">
        <f t="shared" si="3"/>
        <v>0</v>
      </c>
      <c r="P39" s="102"/>
      <c r="Q39" s="102" t="s">
        <v>2785</v>
      </c>
      <c r="R39" s="112"/>
      <c r="S39" s="102"/>
      <c r="T39" s="102"/>
    </row>
    <row r="40" ht="14.25" customHeight="1">
      <c r="A40" s="102" t="s">
        <v>2783</v>
      </c>
      <c r="B40" s="112" t="str">
        <f>IF('Plano de Auditoria'!$G$6&lt;&gt;"",'Plano de Auditoria'!$G$6,IF('Plano de Auditoria'!$F$6="","",'Plano de Auditoria'!$F$6))</f>
        <v/>
      </c>
      <c r="C40" s="102" t="str">
        <f>IF('Plano de Auditoria'!$B$6="","",'Plano de Auditoria'!$B$6)</f>
        <v>ESCOLA MUNICIPAL PROFESSORA MARIA AUXILIADORA MARTINS GONCALVES</v>
      </c>
      <c r="D40" s="102" t="str">
        <f>IF('Plano de Auditoria'!$C$6="","",'Plano de Auditoria'!$C$6)</f>
        <v>DABEL</v>
      </c>
      <c r="E40" s="102" t="str">
        <f>IF('Plano de Auditoria'!$H$6="","",'Plano de Auditoria'!$H$6)</f>
        <v/>
      </c>
      <c r="F40" s="107" t="s">
        <v>116</v>
      </c>
      <c r="G40" s="102" t="s">
        <v>2417</v>
      </c>
      <c r="H40" s="102" t="s">
        <v>2439</v>
      </c>
      <c r="I40" s="102" t="s">
        <v>2440</v>
      </c>
      <c r="J40" s="124">
        <v>2.0</v>
      </c>
      <c r="K40" s="125" t="s">
        <v>2784</v>
      </c>
      <c r="L40" s="124"/>
      <c r="M40" s="124">
        <f t="shared" si="1"/>
        <v>2</v>
      </c>
      <c r="N40" s="124">
        <f t="shared" si="2"/>
        <v>0</v>
      </c>
      <c r="O40" s="114">
        <f t="shared" si="3"/>
        <v>0</v>
      </c>
      <c r="P40" s="102"/>
      <c r="Q40" s="102" t="s">
        <v>2785</v>
      </c>
      <c r="R40" s="112"/>
      <c r="S40" s="102"/>
      <c r="T40" s="102"/>
    </row>
    <row r="41" ht="14.25" customHeight="1">
      <c r="A41" s="102" t="s">
        <v>2783</v>
      </c>
      <c r="B41" s="112" t="str">
        <f>IF('Plano de Auditoria'!$G$6&lt;&gt;"",'Plano de Auditoria'!$G$6,IF('Plano de Auditoria'!$F$6="","",'Plano de Auditoria'!$F$6))</f>
        <v/>
      </c>
      <c r="C41" s="102" t="str">
        <f>IF('Plano de Auditoria'!$B$6="","",'Plano de Auditoria'!$B$6)</f>
        <v>ESCOLA MUNICIPAL PROFESSORA MARIA AUXILIADORA MARTINS GONCALVES</v>
      </c>
      <c r="D41" s="102" t="str">
        <f>IF('Plano de Auditoria'!$C$6="","",'Plano de Auditoria'!$C$6)</f>
        <v>DABEL</v>
      </c>
      <c r="E41" s="102" t="str">
        <f>IF('Plano de Auditoria'!$H$6="","",'Plano de Auditoria'!$H$6)</f>
        <v/>
      </c>
      <c r="F41" s="107" t="s">
        <v>116</v>
      </c>
      <c r="G41" s="102" t="s">
        <v>2444</v>
      </c>
      <c r="H41" s="102" t="s">
        <v>2445</v>
      </c>
      <c r="I41" s="102" t="s">
        <v>2446</v>
      </c>
      <c r="J41" s="124">
        <v>3.0</v>
      </c>
      <c r="K41" s="124" t="s">
        <v>2784</v>
      </c>
      <c r="L41" s="124"/>
      <c r="M41" s="124">
        <f t="shared" si="1"/>
        <v>3</v>
      </c>
      <c r="N41" s="124">
        <f t="shared" si="2"/>
        <v>0</v>
      </c>
      <c r="O41" s="114">
        <f t="shared" si="3"/>
        <v>0</v>
      </c>
      <c r="P41" s="102"/>
      <c r="Q41" s="102" t="s">
        <v>2785</v>
      </c>
      <c r="R41" s="112"/>
      <c r="S41" s="102"/>
      <c r="T41" s="102"/>
    </row>
    <row r="42" ht="14.25" customHeight="1">
      <c r="A42" s="102" t="s">
        <v>2783</v>
      </c>
      <c r="B42" s="112" t="str">
        <f>IF('Plano de Auditoria'!$G$6&lt;&gt;"",'Plano de Auditoria'!$G$6,IF('Plano de Auditoria'!$F$6="","",'Plano de Auditoria'!$F$6))</f>
        <v/>
      </c>
      <c r="C42" s="102" t="str">
        <f>IF('Plano de Auditoria'!$B$6="","",'Plano de Auditoria'!$B$6)</f>
        <v>ESCOLA MUNICIPAL PROFESSORA MARIA AUXILIADORA MARTINS GONCALVES</v>
      </c>
      <c r="D42" s="102" t="str">
        <f>IF('Plano de Auditoria'!$C$6="","",'Plano de Auditoria'!$C$6)</f>
        <v>DABEL</v>
      </c>
      <c r="E42" s="102" t="str">
        <f>IF('Plano de Auditoria'!$H$6="","",'Plano de Auditoria'!$H$6)</f>
        <v/>
      </c>
      <c r="F42" s="107" t="s">
        <v>116</v>
      </c>
      <c r="G42" s="102" t="s">
        <v>2444</v>
      </c>
      <c r="H42" s="102" t="s">
        <v>2451</v>
      </c>
      <c r="I42" s="102" t="s">
        <v>2452</v>
      </c>
      <c r="J42" s="124">
        <v>3.0</v>
      </c>
      <c r="K42" s="125" t="s">
        <v>2784</v>
      </c>
      <c r="L42" s="124"/>
      <c r="M42" s="124">
        <f t="shared" si="1"/>
        <v>3</v>
      </c>
      <c r="N42" s="124">
        <f t="shared" si="2"/>
        <v>0</v>
      </c>
      <c r="O42" s="114">
        <f t="shared" si="3"/>
        <v>0</v>
      </c>
      <c r="P42" s="102"/>
      <c r="Q42" s="102" t="s">
        <v>2785</v>
      </c>
      <c r="R42" s="112"/>
      <c r="S42" s="102"/>
      <c r="T42" s="102"/>
    </row>
    <row r="43" ht="14.25" customHeight="1">
      <c r="A43" s="102" t="s">
        <v>2783</v>
      </c>
      <c r="B43" s="112" t="str">
        <f>IF('Plano de Auditoria'!$G$6&lt;&gt;"",'Plano de Auditoria'!$G$6,IF('Plano de Auditoria'!$F$6="","",'Plano de Auditoria'!$F$6))</f>
        <v/>
      </c>
      <c r="C43" s="102" t="str">
        <f>IF('Plano de Auditoria'!$B$6="","",'Plano de Auditoria'!$B$6)</f>
        <v>ESCOLA MUNICIPAL PROFESSORA MARIA AUXILIADORA MARTINS GONCALVES</v>
      </c>
      <c r="D43" s="102" t="str">
        <f>IF('Plano de Auditoria'!$C$6="","",'Plano de Auditoria'!$C$6)</f>
        <v>DABEL</v>
      </c>
      <c r="E43" s="102" t="str">
        <f>IF('Plano de Auditoria'!$H$6="","",'Plano de Auditoria'!$H$6)</f>
        <v/>
      </c>
      <c r="F43" s="107" t="s">
        <v>116</v>
      </c>
      <c r="G43" s="102" t="s">
        <v>2444</v>
      </c>
      <c r="H43" s="102" t="s">
        <v>2456</v>
      </c>
      <c r="I43" s="102" t="s">
        <v>2457</v>
      </c>
      <c r="J43" s="124">
        <v>3.0</v>
      </c>
      <c r="K43" s="125" t="s">
        <v>2784</v>
      </c>
      <c r="L43" s="124"/>
      <c r="M43" s="124">
        <f t="shared" si="1"/>
        <v>3</v>
      </c>
      <c r="N43" s="124">
        <f t="shared" si="2"/>
        <v>0</v>
      </c>
      <c r="O43" s="114">
        <f t="shared" si="3"/>
        <v>0</v>
      </c>
      <c r="P43" s="102"/>
      <c r="Q43" s="102" t="s">
        <v>2785</v>
      </c>
      <c r="R43" s="112"/>
      <c r="S43" s="102"/>
      <c r="T43" s="102"/>
    </row>
    <row r="44" ht="14.25" customHeight="1">
      <c r="A44" s="102" t="s">
        <v>2783</v>
      </c>
      <c r="B44" s="112" t="str">
        <f>IF('Plano de Auditoria'!$G$6&lt;&gt;"",'Plano de Auditoria'!$G$6,IF('Plano de Auditoria'!$F$6="","",'Plano de Auditoria'!$F$6))</f>
        <v/>
      </c>
      <c r="C44" s="102" t="str">
        <f>IF('Plano de Auditoria'!$B$6="","",'Plano de Auditoria'!$B$6)</f>
        <v>ESCOLA MUNICIPAL PROFESSORA MARIA AUXILIADORA MARTINS GONCALVES</v>
      </c>
      <c r="D44" s="102" t="str">
        <f>IF('Plano de Auditoria'!$C$6="","",'Plano de Auditoria'!$C$6)</f>
        <v>DABEL</v>
      </c>
      <c r="E44" s="102" t="str">
        <f>IF('Plano de Auditoria'!$H$6="","",'Plano de Auditoria'!$H$6)</f>
        <v/>
      </c>
      <c r="F44" s="107" t="s">
        <v>116</v>
      </c>
      <c r="G44" s="102" t="s">
        <v>2444</v>
      </c>
      <c r="H44" s="102" t="s">
        <v>2463</v>
      </c>
      <c r="I44" s="102" t="s">
        <v>2464</v>
      </c>
      <c r="J44" s="124">
        <v>3.0</v>
      </c>
      <c r="K44" s="125" t="s">
        <v>2784</v>
      </c>
      <c r="L44" s="124"/>
      <c r="M44" s="124">
        <f t="shared" si="1"/>
        <v>3</v>
      </c>
      <c r="N44" s="124">
        <f t="shared" si="2"/>
        <v>0</v>
      </c>
      <c r="O44" s="114">
        <f t="shared" si="3"/>
        <v>0</v>
      </c>
      <c r="P44" s="102"/>
      <c r="Q44" s="102" t="s">
        <v>2785</v>
      </c>
      <c r="R44" s="112"/>
      <c r="S44" s="102"/>
      <c r="T44" s="102"/>
    </row>
    <row r="45" ht="14.25" customHeight="1">
      <c r="A45" s="102" t="s">
        <v>2783</v>
      </c>
      <c r="B45" s="112" t="str">
        <f>IF('Plano de Auditoria'!$G$6&lt;&gt;"",'Plano de Auditoria'!$G$6,IF('Plano de Auditoria'!$F$6="","",'Plano de Auditoria'!$F$6))</f>
        <v/>
      </c>
      <c r="C45" s="102" t="str">
        <f>IF('Plano de Auditoria'!$B$6="","",'Plano de Auditoria'!$B$6)</f>
        <v>ESCOLA MUNICIPAL PROFESSORA MARIA AUXILIADORA MARTINS GONCALVES</v>
      </c>
      <c r="D45" s="102" t="str">
        <f>IF('Plano de Auditoria'!$C$6="","",'Plano de Auditoria'!$C$6)</f>
        <v>DABEL</v>
      </c>
      <c r="E45" s="102" t="str">
        <f>IF('Plano de Auditoria'!$H$6="","",'Plano de Auditoria'!$H$6)</f>
        <v/>
      </c>
      <c r="F45" s="107" t="s">
        <v>116</v>
      </c>
      <c r="G45" s="102" t="s">
        <v>2444</v>
      </c>
      <c r="H45" s="102" t="s">
        <v>2468</v>
      </c>
      <c r="I45" s="102" t="s">
        <v>2469</v>
      </c>
      <c r="J45" s="124">
        <v>3.0</v>
      </c>
      <c r="K45" s="124" t="s">
        <v>2784</v>
      </c>
      <c r="L45" s="124"/>
      <c r="M45" s="124">
        <f t="shared" si="1"/>
        <v>3</v>
      </c>
      <c r="N45" s="124">
        <f t="shared" si="2"/>
        <v>0</v>
      </c>
      <c r="O45" s="114">
        <f t="shared" si="3"/>
        <v>0</v>
      </c>
      <c r="P45" s="102"/>
      <c r="Q45" s="102" t="s">
        <v>2785</v>
      </c>
      <c r="R45" s="112"/>
      <c r="S45" s="102"/>
      <c r="T45" s="102"/>
    </row>
    <row r="46" ht="14.25" customHeight="1">
      <c r="A46" s="102" t="s">
        <v>2783</v>
      </c>
      <c r="B46" s="112" t="str">
        <f>IF('Plano de Auditoria'!$G$6&lt;&gt;"",'Plano de Auditoria'!$G$6,IF('Plano de Auditoria'!$F$6="","",'Plano de Auditoria'!$F$6))</f>
        <v/>
      </c>
      <c r="C46" s="102" t="str">
        <f>IF('Plano de Auditoria'!$B$6="","",'Plano de Auditoria'!$B$6)</f>
        <v>ESCOLA MUNICIPAL PROFESSORA MARIA AUXILIADORA MARTINS GONCALVES</v>
      </c>
      <c r="D46" s="102" t="str">
        <f>IF('Plano de Auditoria'!$C$6="","",'Plano de Auditoria'!$C$6)</f>
        <v>DABEL</v>
      </c>
      <c r="E46" s="102" t="str">
        <f>IF('Plano de Auditoria'!$H$6="","",'Plano de Auditoria'!$H$6)</f>
        <v/>
      </c>
      <c r="F46" s="107" t="s">
        <v>116</v>
      </c>
      <c r="G46" s="102" t="s">
        <v>2444</v>
      </c>
      <c r="H46" s="102" t="s">
        <v>2473</v>
      </c>
      <c r="I46" s="102" t="s">
        <v>2474</v>
      </c>
      <c r="J46" s="124">
        <v>3.0</v>
      </c>
      <c r="K46" s="124" t="s">
        <v>2784</v>
      </c>
      <c r="L46" s="124"/>
      <c r="M46" s="124">
        <f t="shared" si="1"/>
        <v>3</v>
      </c>
      <c r="N46" s="124">
        <f t="shared" si="2"/>
        <v>0</v>
      </c>
      <c r="O46" s="114">
        <f t="shared" si="3"/>
        <v>0</v>
      </c>
      <c r="P46" s="102"/>
      <c r="Q46" s="102" t="s">
        <v>2785</v>
      </c>
      <c r="R46" s="112"/>
      <c r="S46" s="102"/>
      <c r="T46" s="102"/>
    </row>
    <row r="47" ht="14.25" customHeight="1">
      <c r="A47" s="102" t="s">
        <v>2783</v>
      </c>
      <c r="B47" s="112" t="str">
        <f>IF('Plano de Auditoria'!$G$6&lt;&gt;"",'Plano de Auditoria'!$G$6,IF('Plano de Auditoria'!$F$6="","",'Plano de Auditoria'!$F$6))</f>
        <v/>
      </c>
      <c r="C47" s="102" t="str">
        <f>IF('Plano de Auditoria'!$B$6="","",'Plano de Auditoria'!$B$6)</f>
        <v>ESCOLA MUNICIPAL PROFESSORA MARIA AUXILIADORA MARTINS GONCALVES</v>
      </c>
      <c r="D47" s="102" t="str">
        <f>IF('Plano de Auditoria'!$C$6="","",'Plano de Auditoria'!$C$6)</f>
        <v>DABEL</v>
      </c>
      <c r="E47" s="102" t="str">
        <f>IF('Plano de Auditoria'!$H$6="","",'Plano de Auditoria'!$H$6)</f>
        <v/>
      </c>
      <c r="F47" s="107" t="s">
        <v>116</v>
      </c>
      <c r="G47" s="102" t="s">
        <v>2444</v>
      </c>
      <c r="H47" s="102" t="s">
        <v>2478</v>
      </c>
      <c r="I47" s="102" t="s">
        <v>2479</v>
      </c>
      <c r="J47" s="124">
        <v>3.0</v>
      </c>
      <c r="K47" s="124" t="s">
        <v>2784</v>
      </c>
      <c r="L47" s="124"/>
      <c r="M47" s="124">
        <f t="shared" si="1"/>
        <v>3</v>
      </c>
      <c r="N47" s="124">
        <f t="shared" si="2"/>
        <v>0</v>
      </c>
      <c r="O47" s="114">
        <f t="shared" si="3"/>
        <v>0</v>
      </c>
      <c r="P47" s="102"/>
      <c r="Q47" s="102" t="s">
        <v>2785</v>
      </c>
      <c r="R47" s="112"/>
      <c r="S47" s="102"/>
      <c r="T47" s="102"/>
    </row>
    <row r="48" ht="14.25" customHeight="1">
      <c r="A48" s="102" t="s">
        <v>2783</v>
      </c>
      <c r="B48" s="112" t="str">
        <f>IF('Plano de Auditoria'!$G$6&lt;&gt;"",'Plano de Auditoria'!$G$6,IF('Plano de Auditoria'!$F$6="","",'Plano de Auditoria'!$F$6))</f>
        <v/>
      </c>
      <c r="C48" s="102" t="str">
        <f>IF('Plano de Auditoria'!$B$6="","",'Plano de Auditoria'!$B$6)</f>
        <v>ESCOLA MUNICIPAL PROFESSORA MARIA AUXILIADORA MARTINS GONCALVES</v>
      </c>
      <c r="D48" s="102" t="str">
        <f>IF('Plano de Auditoria'!$C$6="","",'Plano de Auditoria'!$C$6)</f>
        <v>DABEL</v>
      </c>
      <c r="E48" s="102" t="str">
        <f>IF('Plano de Auditoria'!$H$6="","",'Plano de Auditoria'!$H$6)</f>
        <v/>
      </c>
      <c r="F48" s="107" t="s">
        <v>116</v>
      </c>
      <c r="G48" s="102" t="s">
        <v>2483</v>
      </c>
      <c r="H48" s="102" t="s">
        <v>2270</v>
      </c>
      <c r="I48" s="102" t="s">
        <v>2484</v>
      </c>
      <c r="J48" s="124">
        <v>0.0</v>
      </c>
      <c r="K48" s="125" t="s">
        <v>2784</v>
      </c>
      <c r="L48" s="124"/>
      <c r="M48" s="124">
        <f t="shared" si="1"/>
        <v>0</v>
      </c>
      <c r="N48" s="124">
        <f t="shared" si="2"/>
        <v>0</v>
      </c>
      <c r="O48" s="114" t="str">
        <f t="shared" si="3"/>
        <v/>
      </c>
      <c r="P48" s="102"/>
      <c r="Q48" s="102" t="s">
        <v>2785</v>
      </c>
      <c r="R48" s="112"/>
      <c r="S48" s="102"/>
      <c r="T48" s="102"/>
    </row>
    <row r="49" ht="14.25" customHeight="1">
      <c r="A49" s="102" t="s">
        <v>2783</v>
      </c>
      <c r="B49" s="112" t="str">
        <f>IF('Plano de Auditoria'!$G$6&lt;&gt;"",'Plano de Auditoria'!$G$6,IF('Plano de Auditoria'!$F$6="","",'Plano de Auditoria'!$F$6))</f>
        <v/>
      </c>
      <c r="C49" s="102" t="str">
        <f>IF('Plano de Auditoria'!$B$6="","",'Plano de Auditoria'!$B$6)</f>
        <v>ESCOLA MUNICIPAL PROFESSORA MARIA AUXILIADORA MARTINS GONCALVES</v>
      </c>
      <c r="D49" s="102" t="str">
        <f>IF('Plano de Auditoria'!$C$6="","",'Plano de Auditoria'!$C$6)</f>
        <v>DABEL</v>
      </c>
      <c r="E49" s="102" t="str">
        <f>IF('Plano de Auditoria'!$H$6="","",'Plano de Auditoria'!$H$6)</f>
        <v/>
      </c>
      <c r="F49" s="107" t="s">
        <v>116</v>
      </c>
      <c r="G49" s="102" t="s">
        <v>2483</v>
      </c>
      <c r="H49" s="102" t="s">
        <v>2491</v>
      </c>
      <c r="I49" s="102" t="s">
        <v>2484</v>
      </c>
      <c r="J49" s="124">
        <v>0.0</v>
      </c>
      <c r="K49" s="124" t="s">
        <v>2784</v>
      </c>
      <c r="L49" s="124"/>
      <c r="M49" s="124">
        <f t="shared" si="1"/>
        <v>0</v>
      </c>
      <c r="N49" s="124">
        <f t="shared" si="2"/>
        <v>0</v>
      </c>
      <c r="O49" s="114" t="str">
        <f t="shared" si="3"/>
        <v/>
      </c>
      <c r="P49" s="102"/>
      <c r="Q49" s="102" t="s">
        <v>2785</v>
      </c>
      <c r="R49" s="112"/>
      <c r="S49" s="102"/>
      <c r="T49" s="102"/>
    </row>
    <row r="50" ht="14.25" customHeight="1">
      <c r="A50" s="102" t="s">
        <v>2783</v>
      </c>
      <c r="B50" s="112" t="str">
        <f>IF('Plano de Auditoria'!$G$6&lt;&gt;"",'Plano de Auditoria'!$G$6,IF('Plano de Auditoria'!$F$6="","",'Plano de Auditoria'!$F$6))</f>
        <v/>
      </c>
      <c r="C50" s="102" t="str">
        <f>IF('Plano de Auditoria'!$B$6="","",'Plano de Auditoria'!$B$6)</f>
        <v>ESCOLA MUNICIPAL PROFESSORA MARIA AUXILIADORA MARTINS GONCALVES</v>
      </c>
      <c r="D50" s="102" t="str">
        <f>IF('Plano de Auditoria'!$C$6="","",'Plano de Auditoria'!$C$6)</f>
        <v>DABEL</v>
      </c>
      <c r="E50" s="102" t="str">
        <f>IF('Plano de Auditoria'!$H$6="","",'Plano de Auditoria'!$H$6)</f>
        <v/>
      </c>
      <c r="F50" s="107" t="s">
        <v>116</v>
      </c>
      <c r="G50" s="102" t="s">
        <v>2483</v>
      </c>
      <c r="H50" s="102" t="s">
        <v>2494</v>
      </c>
      <c r="I50" s="102" t="s">
        <v>2484</v>
      </c>
      <c r="J50" s="124">
        <v>0.0</v>
      </c>
      <c r="K50" s="124" t="s">
        <v>2784</v>
      </c>
      <c r="L50" s="124"/>
      <c r="M50" s="124">
        <f t="shared" si="1"/>
        <v>0</v>
      </c>
      <c r="N50" s="124">
        <f t="shared" si="2"/>
        <v>0</v>
      </c>
      <c r="O50" s="114" t="str">
        <f t="shared" si="3"/>
        <v/>
      </c>
      <c r="P50" s="102"/>
      <c r="Q50" s="102" t="s">
        <v>2785</v>
      </c>
      <c r="R50" s="112"/>
      <c r="S50" s="102"/>
      <c r="T50" s="102"/>
    </row>
    <row r="51" ht="14.25" customHeight="1">
      <c r="A51" s="102" t="s">
        <v>2783</v>
      </c>
      <c r="B51" s="112" t="str">
        <f>IF('Plano de Auditoria'!$G$6&lt;&gt;"",'Plano de Auditoria'!$G$6,IF('Plano de Auditoria'!$F$6="","",'Plano de Auditoria'!$F$6))</f>
        <v/>
      </c>
      <c r="C51" s="102" t="str">
        <f>IF('Plano de Auditoria'!$B$6="","",'Plano de Auditoria'!$B$6)</f>
        <v>ESCOLA MUNICIPAL PROFESSORA MARIA AUXILIADORA MARTINS GONCALVES</v>
      </c>
      <c r="D51" s="102" t="str">
        <f>IF('Plano de Auditoria'!$C$6="","",'Plano de Auditoria'!$C$6)</f>
        <v>DABEL</v>
      </c>
      <c r="E51" s="102" t="str">
        <f>IF('Plano de Auditoria'!$H$6="","",'Plano de Auditoria'!$H$6)</f>
        <v/>
      </c>
      <c r="F51" s="107" t="s">
        <v>116</v>
      </c>
      <c r="G51" s="102" t="s">
        <v>2483</v>
      </c>
      <c r="H51" s="102" t="s">
        <v>2497</v>
      </c>
      <c r="I51" s="102" t="s">
        <v>2484</v>
      </c>
      <c r="J51" s="124">
        <v>0.0</v>
      </c>
      <c r="K51" s="124" t="s">
        <v>2784</v>
      </c>
      <c r="L51" s="124"/>
      <c r="M51" s="124">
        <f t="shared" si="1"/>
        <v>0</v>
      </c>
      <c r="N51" s="124">
        <f t="shared" si="2"/>
        <v>0</v>
      </c>
      <c r="O51" s="114" t="str">
        <f t="shared" si="3"/>
        <v/>
      </c>
      <c r="P51" s="102"/>
      <c r="Q51" s="102" t="s">
        <v>2785</v>
      </c>
      <c r="R51" s="112"/>
      <c r="S51" s="102"/>
      <c r="T51" s="102"/>
    </row>
    <row r="52" ht="14.25" customHeight="1">
      <c r="A52" s="102" t="s">
        <v>2783</v>
      </c>
      <c r="B52" s="112" t="str">
        <f>IF('Plano de Auditoria'!$G$6&lt;&gt;"",'Plano de Auditoria'!$G$6,IF('Plano de Auditoria'!$F$6="","",'Plano de Auditoria'!$F$6))</f>
        <v/>
      </c>
      <c r="C52" s="102" t="str">
        <f>IF('Plano de Auditoria'!$B$6="","",'Plano de Auditoria'!$B$6)</f>
        <v>ESCOLA MUNICIPAL PROFESSORA MARIA AUXILIADORA MARTINS GONCALVES</v>
      </c>
      <c r="D52" s="102" t="str">
        <f>IF('Plano de Auditoria'!$C$6="","",'Plano de Auditoria'!$C$6)</f>
        <v>DABEL</v>
      </c>
      <c r="E52" s="102" t="str">
        <f>IF('Plano de Auditoria'!$H$6="","",'Plano de Auditoria'!$H$6)</f>
        <v/>
      </c>
      <c r="F52" s="107" t="s">
        <v>116</v>
      </c>
      <c r="G52" s="102" t="s">
        <v>2483</v>
      </c>
      <c r="H52" s="102" t="s">
        <v>2501</v>
      </c>
      <c r="I52" s="102" t="s">
        <v>2502</v>
      </c>
      <c r="J52" s="124">
        <v>0.0</v>
      </c>
      <c r="K52" s="124" t="s">
        <v>2784</v>
      </c>
      <c r="L52" s="124"/>
      <c r="M52" s="124">
        <f t="shared" si="1"/>
        <v>0</v>
      </c>
      <c r="N52" s="124">
        <f t="shared" si="2"/>
        <v>0</v>
      </c>
      <c r="O52" s="114" t="str">
        <f t="shared" si="3"/>
        <v/>
      </c>
      <c r="P52" s="102"/>
      <c r="Q52" s="102" t="s">
        <v>2785</v>
      </c>
      <c r="R52" s="112"/>
      <c r="S52" s="102"/>
      <c r="T52" s="102"/>
    </row>
    <row r="53" ht="14.25" customHeight="1">
      <c r="A53" s="102" t="s">
        <v>2783</v>
      </c>
      <c r="B53" s="112" t="str">
        <f>IF('Plano de Auditoria'!$G$6&lt;&gt;"",'Plano de Auditoria'!$G$6,IF('Plano de Auditoria'!$F$6="","",'Plano de Auditoria'!$F$6))</f>
        <v/>
      </c>
      <c r="C53" s="102" t="str">
        <f>IF('Plano de Auditoria'!$B$6="","",'Plano de Auditoria'!$B$6)</f>
        <v>ESCOLA MUNICIPAL PROFESSORA MARIA AUXILIADORA MARTINS GONCALVES</v>
      </c>
      <c r="D53" s="102" t="str">
        <f>IF('Plano de Auditoria'!$C$6="","",'Plano de Auditoria'!$C$6)</f>
        <v>DABEL</v>
      </c>
      <c r="E53" s="102" t="str">
        <f>IF('Plano de Auditoria'!$H$6="","",'Plano de Auditoria'!$H$6)</f>
        <v/>
      </c>
      <c r="F53" s="107" t="s">
        <v>116</v>
      </c>
      <c r="G53" s="102" t="s">
        <v>2483</v>
      </c>
      <c r="H53" s="102" t="s">
        <v>2506</v>
      </c>
      <c r="I53" s="102" t="s">
        <v>2484</v>
      </c>
      <c r="J53" s="124">
        <v>0.0</v>
      </c>
      <c r="K53" s="124" t="s">
        <v>2784</v>
      </c>
      <c r="L53" s="124"/>
      <c r="M53" s="124">
        <f t="shared" si="1"/>
        <v>0</v>
      </c>
      <c r="N53" s="124">
        <f t="shared" si="2"/>
        <v>0</v>
      </c>
      <c r="O53" s="114" t="str">
        <f t="shared" si="3"/>
        <v/>
      </c>
      <c r="P53" s="102"/>
      <c r="Q53" s="102" t="s">
        <v>2785</v>
      </c>
      <c r="R53" s="112"/>
      <c r="S53" s="102"/>
      <c r="T53" s="102"/>
    </row>
    <row r="54" ht="14.25" customHeight="1">
      <c r="A54" s="102" t="s">
        <v>2783</v>
      </c>
      <c r="B54" s="112" t="str">
        <f>IF('Plano de Auditoria'!$G$6&lt;&gt;"",'Plano de Auditoria'!$G$6,IF('Plano de Auditoria'!$F$6="","",'Plano de Auditoria'!$F$6))</f>
        <v/>
      </c>
      <c r="C54" s="102" t="str">
        <f>IF('Plano de Auditoria'!$B$6="","",'Plano de Auditoria'!$B$6)</f>
        <v>ESCOLA MUNICIPAL PROFESSORA MARIA AUXILIADORA MARTINS GONCALVES</v>
      </c>
      <c r="D54" s="102" t="str">
        <f>IF('Plano de Auditoria'!$C$6="","",'Plano de Auditoria'!$C$6)</f>
        <v>DABEL</v>
      </c>
      <c r="E54" s="102" t="str">
        <f>IF('Plano de Auditoria'!$H$6="","",'Plano de Auditoria'!$H$6)</f>
        <v/>
      </c>
      <c r="F54" s="107" t="s">
        <v>116</v>
      </c>
      <c r="G54" s="102" t="s">
        <v>2483</v>
      </c>
      <c r="H54" s="102" t="s">
        <v>2510</v>
      </c>
      <c r="I54" s="102" t="s">
        <v>2484</v>
      </c>
      <c r="J54" s="124">
        <v>0.0</v>
      </c>
      <c r="K54" s="124" t="s">
        <v>2784</v>
      </c>
      <c r="L54" s="124"/>
      <c r="M54" s="124">
        <f t="shared" si="1"/>
        <v>0</v>
      </c>
      <c r="N54" s="124">
        <f t="shared" si="2"/>
        <v>0</v>
      </c>
      <c r="O54" s="114" t="str">
        <f t="shared" si="3"/>
        <v/>
      </c>
      <c r="P54" s="102"/>
      <c r="Q54" s="102" t="s">
        <v>2785</v>
      </c>
      <c r="R54" s="112"/>
      <c r="S54" s="102"/>
      <c r="T54" s="102"/>
    </row>
    <row r="55" ht="14.25" customHeight="1">
      <c r="A55" s="102" t="s">
        <v>2783</v>
      </c>
      <c r="B55" s="112" t="str">
        <f>IF('Plano de Auditoria'!$G$6&lt;&gt;"",'Plano de Auditoria'!$G$6,IF('Plano de Auditoria'!$F$6="","",'Plano de Auditoria'!$F$6))</f>
        <v/>
      </c>
      <c r="C55" s="102" t="str">
        <f>IF('Plano de Auditoria'!$B$6="","",'Plano de Auditoria'!$B$6)</f>
        <v>ESCOLA MUNICIPAL PROFESSORA MARIA AUXILIADORA MARTINS GONCALVES</v>
      </c>
      <c r="D55" s="102" t="str">
        <f>IF('Plano de Auditoria'!$C$6="","",'Plano de Auditoria'!$C$6)</f>
        <v>DABEL</v>
      </c>
      <c r="E55" s="102" t="str">
        <f>IF('Plano de Auditoria'!$H$6="","",'Plano de Auditoria'!$H$6)</f>
        <v/>
      </c>
      <c r="F55" s="107" t="s">
        <v>116</v>
      </c>
      <c r="G55" s="102" t="s">
        <v>2483</v>
      </c>
      <c r="H55" s="102" t="s">
        <v>2514</v>
      </c>
      <c r="I55" s="102" t="s">
        <v>2484</v>
      </c>
      <c r="J55" s="124">
        <v>0.0</v>
      </c>
      <c r="K55" s="124" t="s">
        <v>2784</v>
      </c>
      <c r="L55" s="124"/>
      <c r="M55" s="124">
        <f t="shared" si="1"/>
        <v>0</v>
      </c>
      <c r="N55" s="124">
        <f t="shared" si="2"/>
        <v>0</v>
      </c>
      <c r="O55" s="114" t="str">
        <f t="shared" si="3"/>
        <v/>
      </c>
      <c r="P55" s="102"/>
      <c r="Q55" s="102" t="s">
        <v>2785</v>
      </c>
      <c r="R55" s="112"/>
      <c r="S55" s="102"/>
      <c r="T55" s="102"/>
    </row>
    <row r="56" ht="14.25" customHeight="1">
      <c r="A56" s="102" t="s">
        <v>2783</v>
      </c>
      <c r="B56" s="112" t="str">
        <f>IF('Plano de Auditoria'!$G$6&lt;&gt;"",'Plano de Auditoria'!$G$6,IF('Plano de Auditoria'!$F$6="","",'Plano de Auditoria'!$F$6))</f>
        <v/>
      </c>
      <c r="C56" s="102" t="str">
        <f>IF('Plano de Auditoria'!$B$6="","",'Plano de Auditoria'!$B$6)</f>
        <v>ESCOLA MUNICIPAL PROFESSORA MARIA AUXILIADORA MARTINS GONCALVES</v>
      </c>
      <c r="D56" s="102" t="str">
        <f>IF('Plano de Auditoria'!$C$6="","",'Plano de Auditoria'!$C$6)</f>
        <v>DABEL</v>
      </c>
      <c r="E56" s="102" t="str">
        <f>IF('Plano de Auditoria'!$H$6="","",'Plano de Auditoria'!$H$6)</f>
        <v/>
      </c>
      <c r="F56" s="107" t="s">
        <v>116</v>
      </c>
      <c r="G56" s="102" t="s">
        <v>2483</v>
      </c>
      <c r="H56" s="102" t="s">
        <v>2518</v>
      </c>
      <c r="I56" s="102" t="s">
        <v>2484</v>
      </c>
      <c r="J56" s="124">
        <v>0.0</v>
      </c>
      <c r="K56" s="124" t="s">
        <v>2784</v>
      </c>
      <c r="L56" s="124"/>
      <c r="M56" s="124">
        <f t="shared" si="1"/>
        <v>0</v>
      </c>
      <c r="N56" s="124">
        <f t="shared" si="2"/>
        <v>0</v>
      </c>
      <c r="O56" s="114" t="str">
        <f t="shared" si="3"/>
        <v/>
      </c>
      <c r="P56" s="102"/>
      <c r="Q56" s="102" t="s">
        <v>2785</v>
      </c>
      <c r="R56" s="112"/>
      <c r="S56" s="102"/>
      <c r="T56" s="102"/>
    </row>
    <row r="57" ht="14.25" customHeight="1">
      <c r="A57" s="102" t="s">
        <v>2783</v>
      </c>
      <c r="B57" s="112" t="str">
        <f>IF('Plano de Auditoria'!$G$6&lt;&gt;"",'Plano de Auditoria'!$G$6,IF('Plano de Auditoria'!$F$6="","",'Plano de Auditoria'!$F$6))</f>
        <v/>
      </c>
      <c r="C57" s="102" t="str">
        <f>IF('Plano de Auditoria'!$B$6="","",'Plano de Auditoria'!$B$6)</f>
        <v>ESCOLA MUNICIPAL PROFESSORA MARIA AUXILIADORA MARTINS GONCALVES</v>
      </c>
      <c r="D57" s="102" t="str">
        <f>IF('Plano de Auditoria'!$C$6="","",'Plano de Auditoria'!$C$6)</f>
        <v>DABEL</v>
      </c>
      <c r="E57" s="102" t="str">
        <f>IF('Plano de Auditoria'!$H$6="","",'Plano de Auditoria'!$H$6)</f>
        <v/>
      </c>
      <c r="F57" s="107" t="s">
        <v>116</v>
      </c>
      <c r="G57" s="102" t="s">
        <v>2483</v>
      </c>
      <c r="H57" s="102" t="s">
        <v>2522</v>
      </c>
      <c r="I57" s="102" t="s">
        <v>2484</v>
      </c>
      <c r="J57" s="124">
        <v>0.0</v>
      </c>
      <c r="K57" s="124" t="s">
        <v>2784</v>
      </c>
      <c r="L57" s="124"/>
      <c r="M57" s="124">
        <f t="shared" si="1"/>
        <v>0</v>
      </c>
      <c r="N57" s="124">
        <f t="shared" si="2"/>
        <v>0</v>
      </c>
      <c r="O57" s="114" t="str">
        <f t="shared" si="3"/>
        <v/>
      </c>
      <c r="P57" s="102"/>
      <c r="Q57" s="102" t="s">
        <v>2785</v>
      </c>
      <c r="R57" s="112"/>
      <c r="S57" s="102"/>
      <c r="T57" s="102"/>
    </row>
    <row r="58" ht="14.25" customHeight="1">
      <c r="A58" s="102" t="s">
        <v>2783</v>
      </c>
      <c r="B58" s="112" t="str">
        <f>IF('Plano de Auditoria'!$G$6&lt;&gt;"",'Plano de Auditoria'!$G$6,IF('Plano de Auditoria'!$F$6="","",'Plano de Auditoria'!$F$6))</f>
        <v/>
      </c>
      <c r="C58" s="102" t="str">
        <f>IF('Plano de Auditoria'!$B$6="","",'Plano de Auditoria'!$B$6)</f>
        <v>ESCOLA MUNICIPAL PROFESSORA MARIA AUXILIADORA MARTINS GONCALVES</v>
      </c>
      <c r="D58" s="102" t="str">
        <f>IF('Plano de Auditoria'!$C$6="","",'Plano de Auditoria'!$C$6)</f>
        <v>DABEL</v>
      </c>
      <c r="E58" s="102" t="str">
        <f>IF('Plano de Auditoria'!$H$6="","",'Plano de Auditoria'!$H$6)</f>
        <v/>
      </c>
      <c r="F58" s="107" t="s">
        <v>116</v>
      </c>
      <c r="G58" s="102" t="s">
        <v>2483</v>
      </c>
      <c r="H58" s="102" t="s">
        <v>2526</v>
      </c>
      <c r="I58" s="102" t="s">
        <v>2484</v>
      </c>
      <c r="J58" s="124">
        <v>0.0</v>
      </c>
      <c r="K58" s="124" t="s">
        <v>2784</v>
      </c>
      <c r="L58" s="124"/>
      <c r="M58" s="124">
        <f t="shared" si="1"/>
        <v>0</v>
      </c>
      <c r="N58" s="124">
        <f t="shared" si="2"/>
        <v>0</v>
      </c>
      <c r="O58" s="114" t="str">
        <f t="shared" si="3"/>
        <v/>
      </c>
      <c r="P58" s="102"/>
      <c r="Q58" s="102" t="s">
        <v>2785</v>
      </c>
      <c r="R58" s="112"/>
      <c r="S58" s="102"/>
      <c r="T58" s="102"/>
    </row>
    <row r="59" ht="14.25" customHeight="1">
      <c r="A59" s="104" t="s">
        <v>2783</v>
      </c>
      <c r="B59" s="115" t="str">
        <f>IF('Plano de Auditoria'!$G$6&lt;&gt;"",'Plano de Auditoria'!$G$6,IF('Plano de Auditoria'!$F$6="","",'Plano de Auditoria'!$F$6))</f>
        <v/>
      </c>
      <c r="C59" s="104" t="str">
        <f>IF('Plano de Auditoria'!$B$6="","",'Plano de Auditoria'!$B$6)</f>
        <v>ESCOLA MUNICIPAL PROFESSORA MARIA AUXILIADORA MARTINS GONCALVES</v>
      </c>
      <c r="D59" s="104" t="str">
        <f>IF('Plano de Auditoria'!$C$6="","",'Plano de Auditoria'!$C$6)</f>
        <v>DABEL</v>
      </c>
      <c r="E59" s="104" t="str">
        <f>IF('Plano de Auditoria'!$H$6="","",'Plano de Auditoria'!$H$6)</f>
        <v/>
      </c>
      <c r="F59" s="126" t="s">
        <v>116</v>
      </c>
      <c r="G59" s="104" t="s">
        <v>2483</v>
      </c>
      <c r="H59" s="104" t="s">
        <v>2530</v>
      </c>
      <c r="I59" s="104" t="s">
        <v>2484</v>
      </c>
      <c r="J59" s="127">
        <v>0.0</v>
      </c>
      <c r="K59" s="127" t="s">
        <v>2784</v>
      </c>
      <c r="L59" s="127"/>
      <c r="M59" s="127">
        <f t="shared" si="1"/>
        <v>0</v>
      </c>
      <c r="N59" s="127">
        <f t="shared" si="2"/>
        <v>0</v>
      </c>
      <c r="O59" s="117" t="str">
        <f t="shared" si="3"/>
        <v/>
      </c>
      <c r="P59" s="104"/>
      <c r="Q59" s="104" t="s">
        <v>2785</v>
      </c>
      <c r="R59" s="115"/>
      <c r="S59" s="104"/>
      <c r="T59" s="104"/>
    </row>
    <row r="60" ht="14.25" customHeight="1">
      <c r="A60" s="118"/>
      <c r="B60" s="119" t="str">
        <f>IF('Plano de Auditoria'!$G$6&lt;&gt;"",'Plano de Auditoria'!$G$6,IF('Plano de Auditoria'!$F$6="","",'Plano de Auditoria'!$F$6))</f>
        <v/>
      </c>
      <c r="C60" s="118"/>
      <c r="D60" s="118"/>
      <c r="E60" s="118" t="str">
        <f>IF('Plano de Auditoria'!$H$6="","",'Plano de Auditoria'!$H$6)</f>
        <v/>
      </c>
      <c r="F60" s="128"/>
      <c r="G60" s="118"/>
      <c r="H60" s="118"/>
      <c r="I60" s="118"/>
      <c r="J60" s="129"/>
      <c r="K60" s="129"/>
      <c r="L60" s="129"/>
      <c r="M60" s="129">
        <f t="shared" si="1"/>
        <v>0</v>
      </c>
      <c r="N60" s="129">
        <f t="shared" si="2"/>
        <v>0</v>
      </c>
      <c r="O60" s="121" t="str">
        <f t="shared" si="3"/>
        <v/>
      </c>
      <c r="P60" s="118"/>
      <c r="Q60" s="118"/>
      <c r="R60" s="119"/>
      <c r="S60" s="118"/>
      <c r="T60" s="118"/>
    </row>
    <row r="61" ht="14.25" customHeight="1">
      <c r="B61" s="130"/>
      <c r="J61" s="131"/>
      <c r="K61" s="131"/>
      <c r="L61" s="131"/>
      <c r="M61" s="131"/>
      <c r="N61" s="131"/>
      <c r="O61" s="132"/>
      <c r="Q61" s="89"/>
      <c r="R61" s="130"/>
      <c r="T61" s="89"/>
    </row>
    <row r="62" ht="14.25" customHeight="1">
      <c r="B62" s="130"/>
      <c r="J62" s="131"/>
      <c r="K62" s="131"/>
      <c r="L62" s="131"/>
      <c r="M62" s="131"/>
      <c r="N62" s="131"/>
      <c r="O62" s="132"/>
      <c r="Q62" s="89"/>
      <c r="R62" s="130"/>
      <c r="T62" s="89"/>
    </row>
    <row r="63" ht="14.25" customHeight="1">
      <c r="B63" s="130"/>
      <c r="J63" s="131"/>
      <c r="K63" s="131"/>
      <c r="L63" s="131"/>
      <c r="M63" s="131"/>
      <c r="N63" s="131"/>
      <c r="O63" s="132"/>
      <c r="Q63" s="89"/>
      <c r="R63" s="130"/>
      <c r="T63" s="89"/>
    </row>
    <row r="64" ht="14.25" customHeight="1">
      <c r="B64" s="130"/>
      <c r="J64" s="131"/>
      <c r="K64" s="131"/>
      <c r="L64" s="131"/>
      <c r="M64" s="131"/>
      <c r="N64" s="131"/>
      <c r="O64" s="132"/>
      <c r="Q64" s="89"/>
      <c r="R64" s="130"/>
      <c r="T64" s="89"/>
    </row>
    <row r="65" ht="14.25" customHeight="1">
      <c r="B65" s="130"/>
      <c r="J65" s="131"/>
      <c r="K65" s="131"/>
      <c r="L65" s="131"/>
      <c r="M65" s="131"/>
      <c r="N65" s="131"/>
      <c r="O65" s="132"/>
      <c r="Q65" s="89"/>
      <c r="R65" s="130"/>
      <c r="T65" s="89"/>
    </row>
    <row r="66" ht="14.25" customHeight="1">
      <c r="B66" s="130"/>
      <c r="J66" s="131"/>
      <c r="K66" s="131"/>
      <c r="L66" s="131"/>
      <c r="M66" s="131"/>
      <c r="N66" s="131"/>
      <c r="O66" s="132"/>
      <c r="Q66" s="89"/>
      <c r="R66" s="130"/>
      <c r="T66" s="89"/>
    </row>
    <row r="67" ht="14.25" customHeight="1">
      <c r="B67" s="130"/>
      <c r="J67" s="131"/>
      <c r="K67" s="131"/>
      <c r="L67" s="131"/>
      <c r="M67" s="131"/>
      <c r="N67" s="131"/>
      <c r="O67" s="132"/>
      <c r="Q67" s="89"/>
      <c r="R67" s="130"/>
      <c r="T67" s="89"/>
    </row>
    <row r="68" ht="14.25" customHeight="1">
      <c r="B68" s="130"/>
      <c r="J68" s="131"/>
      <c r="K68" s="131"/>
      <c r="L68" s="131"/>
      <c r="M68" s="131"/>
      <c r="N68" s="131"/>
      <c r="O68" s="132"/>
      <c r="Q68" s="89"/>
      <c r="R68" s="130"/>
      <c r="T68" s="89"/>
    </row>
    <row r="69" ht="14.25" customHeight="1">
      <c r="B69" s="130"/>
      <c r="J69" s="131"/>
      <c r="K69" s="131"/>
      <c r="L69" s="131"/>
      <c r="M69" s="131"/>
      <c r="N69" s="131"/>
      <c r="O69" s="132"/>
      <c r="Q69" s="89"/>
      <c r="R69" s="130"/>
      <c r="T69" s="89"/>
    </row>
    <row r="70" ht="14.25" customHeight="1">
      <c r="B70" s="130"/>
      <c r="J70" s="131"/>
      <c r="K70" s="131"/>
      <c r="L70" s="131"/>
      <c r="M70" s="131"/>
      <c r="N70" s="131"/>
      <c r="O70" s="132"/>
      <c r="Q70" s="89"/>
      <c r="R70" s="130"/>
      <c r="T70" s="89"/>
    </row>
    <row r="71" ht="14.25" customHeight="1">
      <c r="B71" s="130"/>
      <c r="J71" s="131"/>
      <c r="K71" s="131"/>
      <c r="L71" s="131"/>
      <c r="M71" s="131"/>
      <c r="N71" s="131"/>
      <c r="O71" s="132"/>
      <c r="Q71" s="89"/>
      <c r="R71" s="130"/>
      <c r="T71" s="89"/>
    </row>
    <row r="72" ht="14.25" customHeight="1">
      <c r="B72" s="130"/>
      <c r="J72" s="131"/>
      <c r="K72" s="131"/>
      <c r="L72" s="131"/>
      <c r="M72" s="131"/>
      <c r="N72" s="131"/>
      <c r="O72" s="132"/>
      <c r="Q72" s="89"/>
      <c r="R72" s="130"/>
      <c r="T72" s="89"/>
    </row>
    <row r="73" ht="14.25" customHeight="1">
      <c r="B73" s="130"/>
      <c r="J73" s="131"/>
      <c r="K73" s="131"/>
      <c r="L73" s="131"/>
      <c r="M73" s="131"/>
      <c r="N73" s="131"/>
      <c r="O73" s="132"/>
      <c r="Q73" s="89"/>
      <c r="R73" s="130"/>
      <c r="T73" s="89"/>
    </row>
    <row r="74" ht="14.25" customHeight="1">
      <c r="B74" s="130"/>
      <c r="J74" s="131"/>
      <c r="K74" s="131"/>
      <c r="L74" s="131"/>
      <c r="M74" s="131"/>
      <c r="N74" s="131"/>
      <c r="O74" s="132"/>
      <c r="Q74" s="89"/>
      <c r="R74" s="130"/>
      <c r="T74" s="89"/>
    </row>
    <row r="75" ht="14.25" customHeight="1">
      <c r="B75" s="130"/>
      <c r="J75" s="131"/>
      <c r="K75" s="131"/>
      <c r="L75" s="131"/>
      <c r="M75" s="131"/>
      <c r="N75" s="131"/>
      <c r="O75" s="132"/>
      <c r="Q75" s="89"/>
      <c r="R75" s="130"/>
      <c r="T75" s="89"/>
    </row>
    <row r="76" ht="14.25" customHeight="1">
      <c r="B76" s="130"/>
      <c r="J76" s="131"/>
      <c r="K76" s="131"/>
      <c r="L76" s="131"/>
      <c r="M76" s="131"/>
      <c r="N76" s="131"/>
      <c r="O76" s="132"/>
      <c r="Q76" s="89"/>
      <c r="R76" s="130"/>
      <c r="T76" s="89"/>
    </row>
    <row r="77" ht="14.25" customHeight="1">
      <c r="B77" s="130"/>
      <c r="J77" s="131"/>
      <c r="K77" s="131"/>
      <c r="L77" s="131"/>
      <c r="M77" s="131"/>
      <c r="N77" s="131"/>
      <c r="O77" s="132"/>
      <c r="Q77" s="89"/>
      <c r="R77" s="130"/>
      <c r="T77" s="89"/>
    </row>
    <row r="78" ht="14.25" customHeight="1">
      <c r="B78" s="130"/>
      <c r="J78" s="131"/>
      <c r="K78" s="131"/>
      <c r="L78" s="131"/>
      <c r="M78" s="131"/>
      <c r="N78" s="131"/>
      <c r="O78" s="132"/>
      <c r="Q78" s="89"/>
      <c r="R78" s="130"/>
      <c r="T78" s="89"/>
    </row>
    <row r="79" ht="14.25" customHeight="1">
      <c r="B79" s="130"/>
      <c r="J79" s="131"/>
      <c r="K79" s="131"/>
      <c r="L79" s="131"/>
      <c r="M79" s="131"/>
      <c r="N79" s="131"/>
      <c r="O79" s="132"/>
      <c r="Q79" s="89"/>
      <c r="R79" s="130"/>
      <c r="T79" s="89"/>
    </row>
    <row r="80" ht="14.25" customHeight="1">
      <c r="B80" s="130"/>
      <c r="J80" s="131"/>
      <c r="K80" s="131"/>
      <c r="L80" s="131"/>
      <c r="M80" s="131"/>
      <c r="N80" s="131"/>
      <c r="O80" s="132"/>
      <c r="Q80" s="89"/>
      <c r="R80" s="130"/>
      <c r="T80" s="89"/>
    </row>
    <row r="81" ht="14.25" customHeight="1">
      <c r="B81" s="130"/>
      <c r="J81" s="131"/>
      <c r="K81" s="131"/>
      <c r="L81" s="131"/>
      <c r="M81" s="131"/>
      <c r="N81" s="131"/>
      <c r="O81" s="132"/>
      <c r="Q81" s="89"/>
      <c r="R81" s="130"/>
      <c r="T81" s="89"/>
    </row>
    <row r="82" ht="14.25" customHeight="1">
      <c r="B82" s="130"/>
      <c r="J82" s="131"/>
      <c r="K82" s="131"/>
      <c r="L82" s="131"/>
      <c r="M82" s="131"/>
      <c r="N82" s="131"/>
      <c r="O82" s="132"/>
      <c r="Q82" s="89"/>
      <c r="R82" s="130"/>
      <c r="T82" s="89"/>
    </row>
    <row r="83" ht="14.25" customHeight="1">
      <c r="B83" s="130"/>
      <c r="J83" s="131"/>
      <c r="K83" s="131"/>
      <c r="L83" s="131"/>
      <c r="M83" s="131"/>
      <c r="N83" s="131"/>
      <c r="O83" s="132"/>
      <c r="Q83" s="89"/>
      <c r="R83" s="130"/>
      <c r="T83" s="89"/>
    </row>
    <row r="84" ht="14.25" customHeight="1">
      <c r="B84" s="130"/>
      <c r="J84" s="131"/>
      <c r="K84" s="131"/>
      <c r="L84" s="131"/>
      <c r="M84" s="131"/>
      <c r="N84" s="131"/>
      <c r="O84" s="132"/>
      <c r="Q84" s="89"/>
      <c r="R84" s="130"/>
      <c r="T84" s="89"/>
    </row>
    <row r="85" ht="14.25" customHeight="1">
      <c r="B85" s="130"/>
      <c r="J85" s="131"/>
      <c r="K85" s="131"/>
      <c r="L85" s="131"/>
      <c r="M85" s="131"/>
      <c r="N85" s="131"/>
      <c r="O85" s="132"/>
      <c r="Q85" s="89"/>
      <c r="R85" s="130"/>
      <c r="T85" s="89"/>
    </row>
    <row r="86" ht="14.25" customHeight="1">
      <c r="B86" s="130"/>
      <c r="J86" s="131"/>
      <c r="K86" s="131"/>
      <c r="L86" s="131"/>
      <c r="M86" s="131"/>
      <c r="N86" s="131"/>
      <c r="O86" s="132"/>
      <c r="Q86" s="89"/>
      <c r="R86" s="130"/>
      <c r="T86" s="89"/>
    </row>
    <row r="87" ht="14.25" customHeight="1">
      <c r="B87" s="130"/>
      <c r="J87" s="131"/>
      <c r="K87" s="131"/>
      <c r="L87" s="131"/>
      <c r="M87" s="131"/>
      <c r="N87" s="131"/>
      <c r="O87" s="132"/>
      <c r="Q87" s="89"/>
      <c r="R87" s="130"/>
      <c r="T87" s="89"/>
    </row>
    <row r="88" ht="14.25" customHeight="1">
      <c r="B88" s="130"/>
      <c r="J88" s="131"/>
      <c r="K88" s="131"/>
      <c r="L88" s="131"/>
      <c r="M88" s="131"/>
      <c r="N88" s="131"/>
      <c r="O88" s="132"/>
      <c r="Q88" s="89"/>
      <c r="R88" s="130"/>
      <c r="T88" s="89"/>
    </row>
    <row r="89" ht="14.25" customHeight="1">
      <c r="B89" s="130"/>
      <c r="J89" s="131"/>
      <c r="K89" s="131"/>
      <c r="L89" s="131"/>
      <c r="M89" s="131"/>
      <c r="N89" s="131"/>
      <c r="O89" s="132"/>
      <c r="Q89" s="89"/>
      <c r="R89" s="130"/>
      <c r="T89" s="89"/>
    </row>
    <row r="90" ht="14.25" customHeight="1">
      <c r="B90" s="130"/>
      <c r="J90" s="131"/>
      <c r="K90" s="131"/>
      <c r="L90" s="131"/>
      <c r="M90" s="131"/>
      <c r="N90" s="131"/>
      <c r="O90" s="132"/>
      <c r="Q90" s="89"/>
      <c r="R90" s="130"/>
      <c r="T90" s="89"/>
    </row>
    <row r="91" ht="14.25" customHeight="1">
      <c r="B91" s="130"/>
      <c r="J91" s="131"/>
      <c r="K91" s="131"/>
      <c r="L91" s="131"/>
      <c r="M91" s="131"/>
      <c r="N91" s="131"/>
      <c r="O91" s="132"/>
      <c r="Q91" s="89"/>
      <c r="R91" s="130"/>
      <c r="T91" s="89"/>
    </row>
    <row r="92" ht="14.25" customHeight="1">
      <c r="B92" s="130"/>
      <c r="J92" s="131"/>
      <c r="K92" s="131"/>
      <c r="L92" s="131"/>
      <c r="M92" s="131"/>
      <c r="N92" s="131"/>
      <c r="O92" s="132"/>
      <c r="Q92" s="89"/>
      <c r="R92" s="130"/>
      <c r="T92" s="89"/>
    </row>
    <row r="93" ht="14.25" customHeight="1">
      <c r="B93" s="130"/>
      <c r="J93" s="131"/>
      <c r="K93" s="131"/>
      <c r="L93" s="131"/>
      <c r="M93" s="131"/>
      <c r="N93" s="131"/>
      <c r="O93" s="132"/>
      <c r="Q93" s="89"/>
      <c r="R93" s="130"/>
      <c r="T93" s="89"/>
    </row>
    <row r="94" ht="14.25" customHeight="1">
      <c r="B94" s="130"/>
      <c r="J94" s="131"/>
      <c r="K94" s="131"/>
      <c r="L94" s="131"/>
      <c r="M94" s="131"/>
      <c r="N94" s="131"/>
      <c r="O94" s="132"/>
      <c r="Q94" s="89"/>
      <c r="R94" s="130"/>
      <c r="T94" s="89"/>
    </row>
    <row r="95" ht="14.25" customHeight="1">
      <c r="B95" s="130"/>
      <c r="J95" s="131"/>
      <c r="K95" s="131"/>
      <c r="L95" s="131"/>
      <c r="M95" s="131"/>
      <c r="N95" s="131"/>
      <c r="O95" s="132"/>
      <c r="Q95" s="89"/>
      <c r="R95" s="130"/>
      <c r="T95" s="89"/>
    </row>
    <row r="96" ht="14.25" customHeight="1">
      <c r="B96" s="130"/>
      <c r="J96" s="131"/>
      <c r="K96" s="131"/>
      <c r="L96" s="131"/>
      <c r="M96" s="131"/>
      <c r="N96" s="131"/>
      <c r="O96" s="132"/>
      <c r="Q96" s="89"/>
      <c r="R96" s="130"/>
      <c r="T96" s="89"/>
    </row>
    <row r="97" ht="14.25" customHeight="1">
      <c r="B97" s="130"/>
      <c r="J97" s="131"/>
      <c r="K97" s="131"/>
      <c r="L97" s="131"/>
      <c r="M97" s="131"/>
      <c r="N97" s="131"/>
      <c r="O97" s="132"/>
      <c r="Q97" s="89"/>
      <c r="R97" s="130"/>
      <c r="T97" s="89"/>
    </row>
    <row r="98" ht="14.25" customHeight="1">
      <c r="B98" s="130"/>
      <c r="J98" s="131"/>
      <c r="K98" s="131"/>
      <c r="L98" s="131"/>
      <c r="M98" s="131"/>
      <c r="N98" s="131"/>
      <c r="O98" s="132"/>
      <c r="Q98" s="89"/>
      <c r="R98" s="130"/>
      <c r="T98" s="89"/>
    </row>
    <row r="99" ht="14.25" customHeight="1">
      <c r="B99" s="130"/>
      <c r="J99" s="131"/>
      <c r="K99" s="131"/>
      <c r="L99" s="131"/>
      <c r="M99" s="131"/>
      <c r="N99" s="131"/>
      <c r="O99" s="132"/>
      <c r="Q99" s="89"/>
      <c r="R99" s="130"/>
      <c r="T99" s="89"/>
    </row>
    <row r="100" ht="14.25" customHeight="1">
      <c r="B100" s="130"/>
      <c r="J100" s="131"/>
      <c r="K100" s="131"/>
      <c r="L100" s="131"/>
      <c r="M100" s="131"/>
      <c r="N100" s="131"/>
      <c r="O100" s="132"/>
      <c r="Q100" s="89"/>
      <c r="R100" s="130"/>
      <c r="T100" s="89"/>
    </row>
    <row r="101" ht="14.25" customHeight="1">
      <c r="B101" s="130"/>
      <c r="J101" s="131"/>
      <c r="K101" s="131"/>
      <c r="L101" s="131"/>
      <c r="M101" s="131"/>
      <c r="N101" s="131"/>
      <c r="O101" s="132"/>
      <c r="Q101" s="89"/>
      <c r="R101" s="130"/>
      <c r="T101" s="89"/>
    </row>
    <row r="102" ht="14.25" customHeight="1">
      <c r="B102" s="130"/>
      <c r="J102" s="131"/>
      <c r="K102" s="131"/>
      <c r="L102" s="131"/>
      <c r="M102" s="131"/>
      <c r="N102" s="131"/>
      <c r="O102" s="132"/>
      <c r="Q102" s="89"/>
      <c r="R102" s="130"/>
      <c r="T102" s="89"/>
    </row>
    <row r="103" ht="14.25" customHeight="1">
      <c r="B103" s="130"/>
      <c r="J103" s="131"/>
      <c r="K103" s="131"/>
      <c r="L103" s="131"/>
      <c r="M103" s="131"/>
      <c r="N103" s="131"/>
      <c r="O103" s="132"/>
      <c r="Q103" s="89"/>
      <c r="R103" s="130"/>
      <c r="T103" s="89"/>
    </row>
    <row r="104" ht="14.25" customHeight="1">
      <c r="B104" s="130"/>
      <c r="J104" s="131"/>
      <c r="K104" s="131"/>
      <c r="L104" s="131"/>
      <c r="M104" s="131"/>
      <c r="N104" s="131"/>
      <c r="O104" s="132"/>
      <c r="Q104" s="89"/>
      <c r="R104" s="130"/>
      <c r="T104" s="89"/>
    </row>
    <row r="105" ht="14.25" customHeight="1">
      <c r="B105" s="130"/>
      <c r="J105" s="131"/>
      <c r="K105" s="131"/>
      <c r="L105" s="131"/>
      <c r="M105" s="131"/>
      <c r="N105" s="131"/>
      <c r="O105" s="132"/>
      <c r="Q105" s="89"/>
      <c r="R105" s="130"/>
      <c r="T105" s="89"/>
    </row>
    <row r="106" ht="14.25" customHeight="1">
      <c r="B106" s="130"/>
      <c r="J106" s="131"/>
      <c r="K106" s="131"/>
      <c r="L106" s="131"/>
      <c r="M106" s="131"/>
      <c r="N106" s="131"/>
      <c r="O106" s="132"/>
      <c r="Q106" s="89"/>
      <c r="R106" s="130"/>
      <c r="T106" s="89"/>
    </row>
    <row r="107" ht="14.25" customHeight="1">
      <c r="B107" s="130"/>
      <c r="J107" s="131"/>
      <c r="K107" s="131"/>
      <c r="L107" s="131"/>
      <c r="M107" s="131"/>
      <c r="N107" s="131"/>
      <c r="O107" s="132"/>
      <c r="Q107" s="89"/>
      <c r="R107" s="130"/>
      <c r="T107" s="89"/>
    </row>
    <row r="108" ht="14.25" customHeight="1">
      <c r="B108" s="130"/>
      <c r="J108" s="131"/>
      <c r="K108" s="131"/>
      <c r="L108" s="131"/>
      <c r="M108" s="131"/>
      <c r="N108" s="131"/>
      <c r="O108" s="132"/>
      <c r="Q108" s="89"/>
      <c r="R108" s="130"/>
      <c r="T108" s="89"/>
    </row>
    <row r="109" ht="14.25" customHeight="1">
      <c r="B109" s="130"/>
      <c r="J109" s="131"/>
      <c r="K109" s="131"/>
      <c r="L109" s="131"/>
      <c r="M109" s="131"/>
      <c r="N109" s="131"/>
      <c r="O109" s="132"/>
      <c r="Q109" s="89"/>
      <c r="R109" s="130"/>
      <c r="T109" s="89"/>
    </row>
    <row r="110" ht="14.25" customHeight="1">
      <c r="B110" s="130"/>
      <c r="J110" s="131"/>
      <c r="K110" s="131"/>
      <c r="L110" s="131"/>
      <c r="M110" s="131"/>
      <c r="N110" s="131"/>
      <c r="O110" s="132"/>
      <c r="Q110" s="89"/>
      <c r="R110" s="130"/>
      <c r="T110" s="89"/>
    </row>
    <row r="111" ht="14.25" customHeight="1">
      <c r="B111" s="130"/>
      <c r="J111" s="131"/>
      <c r="K111" s="131"/>
      <c r="L111" s="131"/>
      <c r="M111" s="131"/>
      <c r="N111" s="131"/>
      <c r="O111" s="132"/>
      <c r="Q111" s="89"/>
      <c r="R111" s="130"/>
      <c r="T111" s="89"/>
    </row>
    <row r="112" ht="14.25" customHeight="1">
      <c r="B112" s="130"/>
      <c r="J112" s="131"/>
      <c r="K112" s="131"/>
      <c r="L112" s="131"/>
      <c r="M112" s="131"/>
      <c r="N112" s="131"/>
      <c r="O112" s="132"/>
      <c r="Q112" s="89"/>
      <c r="R112" s="130"/>
      <c r="T112" s="89"/>
    </row>
    <row r="113" ht="14.25" customHeight="1">
      <c r="B113" s="130"/>
      <c r="J113" s="131"/>
      <c r="K113" s="131"/>
      <c r="L113" s="131"/>
      <c r="M113" s="131"/>
      <c r="N113" s="131"/>
      <c r="O113" s="132"/>
      <c r="Q113" s="89"/>
      <c r="R113" s="130"/>
      <c r="T113" s="89"/>
    </row>
    <row r="114" ht="14.25" customHeight="1">
      <c r="B114" s="130"/>
      <c r="J114" s="131"/>
      <c r="K114" s="131"/>
      <c r="L114" s="131"/>
      <c r="M114" s="131"/>
      <c r="N114" s="131"/>
      <c r="O114" s="132"/>
      <c r="Q114" s="89"/>
      <c r="R114" s="130"/>
      <c r="T114" s="89"/>
    </row>
    <row r="115" ht="14.25" customHeight="1">
      <c r="B115" s="130"/>
      <c r="J115" s="131"/>
      <c r="K115" s="131"/>
      <c r="L115" s="131"/>
      <c r="M115" s="131"/>
      <c r="N115" s="131"/>
      <c r="O115" s="132"/>
      <c r="Q115" s="89"/>
      <c r="R115" s="130"/>
      <c r="T115" s="89"/>
    </row>
    <row r="116" ht="14.25" customHeight="1">
      <c r="B116" s="130"/>
      <c r="J116" s="131"/>
      <c r="K116" s="131"/>
      <c r="L116" s="131"/>
      <c r="M116" s="131"/>
      <c r="N116" s="131"/>
      <c r="O116" s="132"/>
      <c r="Q116" s="89"/>
      <c r="R116" s="130"/>
      <c r="T116" s="89"/>
    </row>
    <row r="117" ht="14.25" customHeight="1">
      <c r="B117" s="130"/>
      <c r="J117" s="131"/>
      <c r="K117" s="131"/>
      <c r="L117" s="131"/>
      <c r="M117" s="131"/>
      <c r="N117" s="131"/>
      <c r="O117" s="132"/>
      <c r="Q117" s="89"/>
      <c r="R117" s="130"/>
      <c r="T117" s="89"/>
    </row>
    <row r="118" ht="14.25" customHeight="1">
      <c r="B118" s="130"/>
      <c r="J118" s="131"/>
      <c r="K118" s="131"/>
      <c r="L118" s="131"/>
      <c r="M118" s="131"/>
      <c r="N118" s="131"/>
      <c r="O118" s="132"/>
      <c r="Q118" s="89"/>
      <c r="R118" s="130"/>
      <c r="T118" s="89"/>
    </row>
    <row r="119" ht="14.25" customHeight="1">
      <c r="B119" s="130"/>
      <c r="J119" s="131"/>
      <c r="K119" s="131"/>
      <c r="L119" s="131"/>
      <c r="M119" s="131"/>
      <c r="N119" s="131"/>
      <c r="O119" s="132"/>
      <c r="Q119" s="89"/>
      <c r="R119" s="130"/>
      <c r="T119" s="89"/>
    </row>
    <row r="120" ht="14.25" customHeight="1">
      <c r="B120" s="130"/>
      <c r="J120" s="131"/>
      <c r="K120" s="131"/>
      <c r="L120" s="131"/>
      <c r="M120" s="131"/>
      <c r="N120" s="131"/>
      <c r="O120" s="132"/>
      <c r="Q120" s="89"/>
      <c r="R120" s="130"/>
      <c r="T120" s="89"/>
    </row>
    <row r="121" ht="14.25" customHeight="1">
      <c r="B121" s="130"/>
      <c r="J121" s="131"/>
      <c r="K121" s="131"/>
      <c r="L121" s="131"/>
      <c r="M121" s="131"/>
      <c r="N121" s="131"/>
      <c r="O121" s="132"/>
      <c r="Q121" s="89"/>
      <c r="R121" s="130"/>
      <c r="T121" s="89"/>
    </row>
    <row r="122" ht="14.25" customHeight="1">
      <c r="B122" s="130"/>
      <c r="J122" s="131"/>
      <c r="K122" s="131"/>
      <c r="L122" s="131"/>
      <c r="M122" s="131"/>
      <c r="N122" s="131"/>
      <c r="O122" s="132"/>
      <c r="Q122" s="89"/>
      <c r="R122" s="130"/>
      <c r="T122" s="89"/>
    </row>
    <row r="123" ht="14.25" customHeight="1">
      <c r="B123" s="130"/>
      <c r="J123" s="131"/>
      <c r="K123" s="131"/>
      <c r="L123" s="131"/>
      <c r="M123" s="131"/>
      <c r="N123" s="131"/>
      <c r="O123" s="132"/>
      <c r="Q123" s="89"/>
      <c r="R123" s="130"/>
      <c r="T123" s="89"/>
    </row>
    <row r="124" ht="14.25" customHeight="1">
      <c r="B124" s="130"/>
      <c r="J124" s="131"/>
      <c r="K124" s="131"/>
      <c r="L124" s="131"/>
      <c r="M124" s="131"/>
      <c r="N124" s="131"/>
      <c r="O124" s="132"/>
      <c r="Q124" s="89"/>
      <c r="R124" s="130"/>
      <c r="T124" s="89"/>
    </row>
    <row r="125" ht="14.25" customHeight="1">
      <c r="B125" s="130"/>
      <c r="J125" s="131"/>
      <c r="K125" s="131"/>
      <c r="L125" s="131"/>
      <c r="M125" s="131"/>
      <c r="N125" s="131"/>
      <c r="O125" s="132"/>
      <c r="Q125" s="89"/>
      <c r="R125" s="130"/>
      <c r="T125" s="89"/>
    </row>
    <row r="126" ht="14.25" customHeight="1">
      <c r="B126" s="130"/>
      <c r="J126" s="131"/>
      <c r="K126" s="131"/>
      <c r="L126" s="131"/>
      <c r="M126" s="131"/>
      <c r="N126" s="131"/>
      <c r="O126" s="132"/>
      <c r="Q126" s="89"/>
      <c r="R126" s="130"/>
      <c r="T126" s="89"/>
    </row>
    <row r="127" ht="14.25" customHeight="1">
      <c r="B127" s="130"/>
      <c r="J127" s="131"/>
      <c r="K127" s="131"/>
      <c r="L127" s="131"/>
      <c r="M127" s="131"/>
      <c r="N127" s="131"/>
      <c r="O127" s="132"/>
      <c r="Q127" s="89"/>
      <c r="R127" s="130"/>
      <c r="T127" s="89"/>
    </row>
    <row r="128" ht="14.25" customHeight="1">
      <c r="B128" s="130"/>
      <c r="J128" s="131"/>
      <c r="K128" s="131"/>
      <c r="L128" s="131"/>
      <c r="M128" s="131"/>
      <c r="N128" s="131"/>
      <c r="O128" s="132"/>
      <c r="Q128" s="89"/>
      <c r="R128" s="130"/>
      <c r="T128" s="89"/>
    </row>
    <row r="129" ht="14.25" customHeight="1">
      <c r="B129" s="130"/>
      <c r="J129" s="131"/>
      <c r="K129" s="131"/>
      <c r="L129" s="131"/>
      <c r="M129" s="131"/>
      <c r="N129" s="131"/>
      <c r="O129" s="132"/>
      <c r="Q129" s="89"/>
      <c r="R129" s="130"/>
      <c r="T129" s="89"/>
    </row>
    <row r="130" ht="14.25" customHeight="1">
      <c r="B130" s="130"/>
      <c r="J130" s="131"/>
      <c r="K130" s="131"/>
      <c r="L130" s="131"/>
      <c r="M130" s="131"/>
      <c r="N130" s="131"/>
      <c r="O130" s="132"/>
      <c r="Q130" s="89"/>
      <c r="R130" s="130"/>
      <c r="T130" s="89"/>
    </row>
    <row r="131" ht="14.25" customHeight="1">
      <c r="B131" s="130"/>
      <c r="J131" s="131"/>
      <c r="K131" s="131"/>
      <c r="L131" s="131"/>
      <c r="M131" s="131"/>
      <c r="N131" s="131"/>
      <c r="O131" s="132"/>
      <c r="Q131" s="89"/>
      <c r="R131" s="130"/>
      <c r="T131" s="89"/>
    </row>
    <row r="132" ht="14.25" customHeight="1">
      <c r="B132" s="130"/>
      <c r="J132" s="131"/>
      <c r="K132" s="131"/>
      <c r="L132" s="131"/>
      <c r="M132" s="131"/>
      <c r="N132" s="131"/>
      <c r="O132" s="132"/>
      <c r="Q132" s="89"/>
      <c r="R132" s="130"/>
      <c r="T132" s="89"/>
    </row>
    <row r="133" ht="14.25" customHeight="1">
      <c r="B133" s="130"/>
      <c r="J133" s="131"/>
      <c r="K133" s="131"/>
      <c r="L133" s="131"/>
      <c r="M133" s="131"/>
      <c r="N133" s="131"/>
      <c r="O133" s="132"/>
      <c r="Q133" s="89"/>
      <c r="R133" s="130"/>
      <c r="T133" s="89"/>
    </row>
    <row r="134" ht="14.25" customHeight="1">
      <c r="B134" s="130"/>
      <c r="J134" s="131"/>
      <c r="K134" s="131"/>
      <c r="L134" s="131"/>
      <c r="M134" s="131"/>
      <c r="N134" s="131"/>
      <c r="O134" s="132"/>
      <c r="Q134" s="89"/>
      <c r="R134" s="130"/>
      <c r="T134" s="89"/>
    </row>
    <row r="135" ht="14.25" customHeight="1">
      <c r="B135" s="130"/>
      <c r="J135" s="131"/>
      <c r="K135" s="131"/>
      <c r="L135" s="131"/>
      <c r="M135" s="131"/>
      <c r="N135" s="131"/>
      <c r="O135" s="132"/>
      <c r="Q135" s="89"/>
      <c r="R135" s="130"/>
      <c r="T135" s="89"/>
    </row>
    <row r="136" ht="14.25" customHeight="1">
      <c r="B136" s="130"/>
      <c r="J136" s="131"/>
      <c r="K136" s="131"/>
      <c r="L136" s="131"/>
      <c r="M136" s="131"/>
      <c r="N136" s="131"/>
      <c r="O136" s="132"/>
      <c r="Q136" s="89"/>
      <c r="R136" s="130"/>
      <c r="T136" s="89"/>
    </row>
    <row r="137" ht="14.25" customHeight="1">
      <c r="B137" s="130"/>
      <c r="J137" s="131"/>
      <c r="K137" s="131"/>
      <c r="L137" s="131"/>
      <c r="M137" s="131"/>
      <c r="N137" s="131"/>
      <c r="O137" s="132"/>
      <c r="Q137" s="89"/>
      <c r="R137" s="130"/>
      <c r="T137" s="89"/>
    </row>
    <row r="138" ht="14.25" customHeight="1">
      <c r="B138" s="130"/>
      <c r="J138" s="131"/>
      <c r="K138" s="131"/>
      <c r="L138" s="131"/>
      <c r="M138" s="131"/>
      <c r="N138" s="131"/>
      <c r="O138" s="132"/>
      <c r="Q138" s="89"/>
      <c r="R138" s="130"/>
      <c r="T138" s="89"/>
    </row>
    <row r="139" ht="14.25" customHeight="1">
      <c r="B139" s="130"/>
      <c r="J139" s="131"/>
      <c r="K139" s="131"/>
      <c r="L139" s="131"/>
      <c r="M139" s="131"/>
      <c r="N139" s="131"/>
      <c r="O139" s="132"/>
      <c r="Q139" s="89"/>
      <c r="R139" s="130"/>
      <c r="T139" s="89"/>
    </row>
    <row r="140" ht="14.25" customHeight="1">
      <c r="B140" s="130"/>
      <c r="J140" s="131"/>
      <c r="K140" s="131"/>
      <c r="L140" s="131"/>
      <c r="M140" s="131"/>
      <c r="N140" s="131"/>
      <c r="O140" s="132"/>
      <c r="Q140" s="89"/>
      <c r="R140" s="130"/>
      <c r="T140" s="89"/>
    </row>
    <row r="141" ht="14.25" customHeight="1">
      <c r="B141" s="130"/>
      <c r="J141" s="131"/>
      <c r="K141" s="131"/>
      <c r="L141" s="131"/>
      <c r="M141" s="131"/>
      <c r="N141" s="131"/>
      <c r="O141" s="132"/>
      <c r="Q141" s="89"/>
      <c r="R141" s="130"/>
      <c r="T141" s="89"/>
    </row>
    <row r="142" ht="14.25" customHeight="1">
      <c r="B142" s="130"/>
      <c r="J142" s="131"/>
      <c r="K142" s="131"/>
      <c r="L142" s="131"/>
      <c r="M142" s="131"/>
      <c r="N142" s="131"/>
      <c r="O142" s="132"/>
      <c r="Q142" s="89"/>
      <c r="R142" s="130"/>
      <c r="T142" s="89"/>
    </row>
    <row r="143" ht="14.25" customHeight="1">
      <c r="B143" s="130"/>
      <c r="J143" s="131"/>
      <c r="K143" s="131"/>
      <c r="L143" s="131"/>
      <c r="M143" s="131"/>
      <c r="N143" s="131"/>
      <c r="O143" s="132"/>
      <c r="Q143" s="89"/>
      <c r="R143" s="130"/>
      <c r="T143" s="89"/>
    </row>
    <row r="144" ht="14.25" customHeight="1">
      <c r="B144" s="130"/>
      <c r="J144" s="131"/>
      <c r="K144" s="131"/>
      <c r="L144" s="131"/>
      <c r="M144" s="131"/>
      <c r="N144" s="131"/>
      <c r="O144" s="132"/>
      <c r="Q144" s="89"/>
      <c r="R144" s="130"/>
      <c r="T144" s="89"/>
    </row>
    <row r="145" ht="14.25" customHeight="1">
      <c r="B145" s="130"/>
      <c r="J145" s="131"/>
      <c r="K145" s="131"/>
      <c r="L145" s="131"/>
      <c r="M145" s="131"/>
      <c r="N145" s="131"/>
      <c r="O145" s="132"/>
      <c r="Q145" s="89"/>
      <c r="R145" s="130"/>
      <c r="T145" s="89"/>
    </row>
    <row r="146" ht="14.25" customHeight="1">
      <c r="B146" s="130"/>
      <c r="J146" s="131"/>
      <c r="K146" s="131"/>
      <c r="L146" s="131"/>
      <c r="M146" s="131"/>
      <c r="N146" s="131"/>
      <c r="O146" s="132"/>
      <c r="Q146" s="89"/>
      <c r="R146" s="130"/>
      <c r="T146" s="89"/>
    </row>
    <row r="147" ht="14.25" customHeight="1">
      <c r="B147" s="130"/>
      <c r="J147" s="131"/>
      <c r="K147" s="131"/>
      <c r="L147" s="131"/>
      <c r="M147" s="131"/>
      <c r="N147" s="131"/>
      <c r="O147" s="132"/>
      <c r="Q147" s="89"/>
      <c r="R147" s="130"/>
      <c r="T147" s="89"/>
    </row>
    <row r="148" ht="14.25" customHeight="1">
      <c r="B148" s="130"/>
      <c r="J148" s="131"/>
      <c r="K148" s="131"/>
      <c r="L148" s="131"/>
      <c r="M148" s="131"/>
      <c r="N148" s="131"/>
      <c r="O148" s="132"/>
      <c r="Q148" s="89"/>
      <c r="R148" s="130"/>
      <c r="T148" s="89"/>
    </row>
    <row r="149" ht="14.25" customHeight="1">
      <c r="B149" s="130"/>
      <c r="J149" s="131"/>
      <c r="K149" s="131"/>
      <c r="L149" s="131"/>
      <c r="M149" s="131"/>
      <c r="N149" s="131"/>
      <c r="O149" s="132"/>
      <c r="Q149" s="89"/>
      <c r="R149" s="130"/>
      <c r="T149" s="89"/>
    </row>
    <row r="150" ht="14.25" customHeight="1">
      <c r="B150" s="130"/>
      <c r="J150" s="131"/>
      <c r="K150" s="131"/>
      <c r="L150" s="131"/>
      <c r="M150" s="131"/>
      <c r="N150" s="131"/>
      <c r="O150" s="132"/>
      <c r="Q150" s="89"/>
      <c r="R150" s="130"/>
      <c r="T150" s="89"/>
    </row>
    <row r="151" ht="14.25" customHeight="1">
      <c r="B151" s="130"/>
      <c r="J151" s="131"/>
      <c r="K151" s="131"/>
      <c r="L151" s="131"/>
      <c r="M151" s="131"/>
      <c r="N151" s="131"/>
      <c r="O151" s="132"/>
      <c r="Q151" s="89"/>
      <c r="R151" s="130"/>
      <c r="T151" s="89"/>
    </row>
    <row r="152" ht="14.25" customHeight="1">
      <c r="B152" s="130"/>
      <c r="J152" s="131"/>
      <c r="K152" s="131"/>
      <c r="L152" s="131"/>
      <c r="M152" s="131"/>
      <c r="N152" s="131"/>
      <c r="O152" s="132"/>
      <c r="Q152" s="89"/>
      <c r="R152" s="130"/>
      <c r="T152" s="89"/>
    </row>
    <row r="153" ht="14.25" customHeight="1">
      <c r="B153" s="130"/>
      <c r="J153" s="131"/>
      <c r="K153" s="131"/>
      <c r="L153" s="131"/>
      <c r="M153" s="131"/>
      <c r="N153" s="131"/>
      <c r="O153" s="132"/>
      <c r="Q153" s="89"/>
      <c r="R153" s="130"/>
      <c r="T153" s="89"/>
    </row>
    <row r="154" ht="14.25" customHeight="1">
      <c r="B154" s="130"/>
      <c r="J154" s="131"/>
      <c r="K154" s="131"/>
      <c r="L154" s="131"/>
      <c r="M154" s="131"/>
      <c r="N154" s="131"/>
      <c r="O154" s="132"/>
      <c r="Q154" s="89"/>
      <c r="R154" s="130"/>
      <c r="T154" s="89"/>
    </row>
    <row r="155" ht="14.25" customHeight="1">
      <c r="B155" s="130"/>
      <c r="J155" s="131"/>
      <c r="K155" s="131"/>
      <c r="L155" s="131"/>
      <c r="M155" s="131"/>
      <c r="N155" s="131"/>
      <c r="O155" s="132"/>
      <c r="Q155" s="89"/>
      <c r="R155" s="130"/>
      <c r="T155" s="89"/>
    </row>
    <row r="156" ht="14.25" customHeight="1">
      <c r="B156" s="130"/>
      <c r="J156" s="131"/>
      <c r="K156" s="131"/>
      <c r="L156" s="131"/>
      <c r="M156" s="131"/>
      <c r="N156" s="131"/>
      <c r="O156" s="132"/>
      <c r="Q156" s="89"/>
      <c r="R156" s="130"/>
      <c r="T156" s="89"/>
    </row>
    <row r="157" ht="14.25" customHeight="1">
      <c r="B157" s="130"/>
      <c r="J157" s="131"/>
      <c r="K157" s="131"/>
      <c r="L157" s="131"/>
      <c r="M157" s="131"/>
      <c r="N157" s="131"/>
      <c r="O157" s="132"/>
      <c r="Q157" s="89"/>
      <c r="R157" s="130"/>
      <c r="T157" s="89"/>
    </row>
    <row r="158" ht="14.25" customHeight="1">
      <c r="B158" s="130"/>
      <c r="J158" s="131"/>
      <c r="K158" s="131"/>
      <c r="L158" s="131"/>
      <c r="M158" s="131"/>
      <c r="N158" s="131"/>
      <c r="O158" s="132"/>
      <c r="Q158" s="89"/>
      <c r="R158" s="130"/>
      <c r="T158" s="89"/>
    </row>
    <row r="159" ht="14.25" customHeight="1">
      <c r="B159" s="130"/>
      <c r="J159" s="131"/>
      <c r="K159" s="131"/>
      <c r="L159" s="131"/>
      <c r="M159" s="131"/>
      <c r="N159" s="131"/>
      <c r="O159" s="132"/>
      <c r="Q159" s="89"/>
      <c r="R159" s="130"/>
      <c r="T159" s="89"/>
    </row>
    <row r="160" ht="14.25" customHeight="1">
      <c r="B160" s="130"/>
      <c r="J160" s="131"/>
      <c r="K160" s="131"/>
      <c r="L160" s="131"/>
      <c r="M160" s="131"/>
      <c r="N160" s="131"/>
      <c r="O160" s="132"/>
      <c r="Q160" s="89"/>
      <c r="R160" s="130"/>
      <c r="T160" s="89"/>
    </row>
    <row r="161" ht="14.25" customHeight="1">
      <c r="B161" s="130"/>
      <c r="J161" s="131"/>
      <c r="K161" s="131"/>
      <c r="L161" s="131"/>
      <c r="M161" s="131"/>
      <c r="N161" s="131"/>
      <c r="O161" s="132"/>
      <c r="Q161" s="89"/>
      <c r="R161" s="130"/>
      <c r="T161" s="89"/>
    </row>
    <row r="162" ht="14.25" customHeight="1">
      <c r="B162" s="130"/>
      <c r="J162" s="131"/>
      <c r="K162" s="131"/>
      <c r="L162" s="131"/>
      <c r="M162" s="131"/>
      <c r="N162" s="131"/>
      <c r="O162" s="132"/>
      <c r="Q162" s="89"/>
      <c r="R162" s="130"/>
      <c r="T162" s="89"/>
    </row>
    <row r="163" ht="14.25" customHeight="1">
      <c r="B163" s="130"/>
      <c r="J163" s="131"/>
      <c r="K163" s="131"/>
      <c r="L163" s="131"/>
      <c r="M163" s="131"/>
      <c r="N163" s="131"/>
      <c r="O163" s="132"/>
      <c r="Q163" s="89"/>
      <c r="R163" s="130"/>
      <c r="T163" s="89"/>
    </row>
    <row r="164" ht="14.25" customHeight="1">
      <c r="B164" s="130"/>
      <c r="J164" s="131"/>
      <c r="K164" s="131"/>
      <c r="L164" s="131"/>
      <c r="M164" s="131"/>
      <c r="N164" s="131"/>
      <c r="O164" s="132"/>
      <c r="Q164" s="89"/>
      <c r="R164" s="130"/>
      <c r="T164" s="89"/>
    </row>
    <row r="165" ht="14.25" customHeight="1">
      <c r="B165" s="130"/>
      <c r="J165" s="131"/>
      <c r="K165" s="131"/>
      <c r="L165" s="131"/>
      <c r="M165" s="131"/>
      <c r="N165" s="131"/>
      <c r="O165" s="132"/>
      <c r="Q165" s="89"/>
      <c r="R165" s="130"/>
      <c r="T165" s="89"/>
    </row>
    <row r="166" ht="14.25" customHeight="1">
      <c r="B166" s="130"/>
      <c r="J166" s="131"/>
      <c r="K166" s="131"/>
      <c r="L166" s="131"/>
      <c r="M166" s="131"/>
      <c r="N166" s="131"/>
      <c r="O166" s="132"/>
      <c r="Q166" s="89"/>
      <c r="R166" s="130"/>
      <c r="T166" s="89"/>
    </row>
    <row r="167" ht="14.25" customHeight="1">
      <c r="B167" s="130"/>
      <c r="J167" s="131"/>
      <c r="K167" s="131"/>
      <c r="L167" s="131"/>
      <c r="M167" s="131"/>
      <c r="N167" s="131"/>
      <c r="O167" s="132"/>
      <c r="Q167" s="89"/>
      <c r="R167" s="130"/>
      <c r="T167" s="89"/>
    </row>
    <row r="168" ht="14.25" customHeight="1">
      <c r="B168" s="130"/>
      <c r="J168" s="131"/>
      <c r="K168" s="131"/>
      <c r="L168" s="131"/>
      <c r="M168" s="131"/>
      <c r="N168" s="131"/>
      <c r="O168" s="132"/>
      <c r="Q168" s="89"/>
      <c r="R168" s="130"/>
      <c r="T168" s="89"/>
    </row>
    <row r="169" ht="14.25" customHeight="1">
      <c r="B169" s="130"/>
      <c r="J169" s="131"/>
      <c r="K169" s="131"/>
      <c r="L169" s="131"/>
      <c r="M169" s="131"/>
      <c r="N169" s="131"/>
      <c r="O169" s="132"/>
      <c r="Q169" s="89"/>
      <c r="R169" s="130"/>
      <c r="T169" s="89"/>
    </row>
    <row r="170" ht="14.25" customHeight="1">
      <c r="B170" s="130"/>
      <c r="J170" s="131"/>
      <c r="K170" s="131"/>
      <c r="L170" s="131"/>
      <c r="M170" s="131"/>
      <c r="N170" s="131"/>
      <c r="O170" s="132"/>
      <c r="Q170" s="89"/>
      <c r="R170" s="130"/>
      <c r="T170" s="89"/>
    </row>
    <row r="171" ht="14.25" customHeight="1">
      <c r="B171" s="130"/>
      <c r="J171" s="131"/>
      <c r="K171" s="131"/>
      <c r="L171" s="131"/>
      <c r="M171" s="131"/>
      <c r="N171" s="131"/>
      <c r="O171" s="132"/>
      <c r="Q171" s="89"/>
      <c r="R171" s="130"/>
      <c r="T171" s="89"/>
    </row>
    <row r="172" ht="14.25" customHeight="1">
      <c r="B172" s="130"/>
      <c r="J172" s="131"/>
      <c r="K172" s="131"/>
      <c r="L172" s="131"/>
      <c r="M172" s="131"/>
      <c r="N172" s="131"/>
      <c r="O172" s="132"/>
      <c r="Q172" s="89"/>
      <c r="R172" s="130"/>
      <c r="T172" s="89"/>
    </row>
    <row r="173" ht="14.25" customHeight="1">
      <c r="B173" s="130"/>
      <c r="J173" s="131"/>
      <c r="K173" s="131"/>
      <c r="L173" s="131"/>
      <c r="M173" s="131"/>
      <c r="N173" s="131"/>
      <c r="O173" s="132"/>
      <c r="Q173" s="89"/>
      <c r="R173" s="130"/>
      <c r="T173" s="89"/>
    </row>
    <row r="174" ht="14.25" customHeight="1">
      <c r="B174" s="130"/>
      <c r="J174" s="131"/>
      <c r="K174" s="131"/>
      <c r="L174" s="131"/>
      <c r="M174" s="131"/>
      <c r="N174" s="131"/>
      <c r="O174" s="132"/>
      <c r="Q174" s="89"/>
      <c r="R174" s="130"/>
      <c r="T174" s="89"/>
    </row>
    <row r="175" ht="14.25" customHeight="1">
      <c r="B175" s="130"/>
      <c r="J175" s="131"/>
      <c r="K175" s="131"/>
      <c r="L175" s="131"/>
      <c r="M175" s="131"/>
      <c r="N175" s="131"/>
      <c r="O175" s="132"/>
      <c r="Q175" s="89"/>
      <c r="R175" s="130"/>
      <c r="T175" s="89"/>
    </row>
    <row r="176" ht="14.25" customHeight="1">
      <c r="B176" s="130"/>
      <c r="J176" s="131"/>
      <c r="K176" s="131"/>
      <c r="L176" s="131"/>
      <c r="M176" s="131"/>
      <c r="N176" s="131"/>
      <c r="O176" s="132"/>
      <c r="Q176" s="89"/>
      <c r="R176" s="130"/>
      <c r="T176" s="89"/>
    </row>
    <row r="177" ht="14.25" customHeight="1">
      <c r="B177" s="130"/>
      <c r="J177" s="131"/>
      <c r="K177" s="131"/>
      <c r="L177" s="131"/>
      <c r="M177" s="131"/>
      <c r="N177" s="131"/>
      <c r="O177" s="132"/>
      <c r="Q177" s="89"/>
      <c r="R177" s="130"/>
      <c r="T177" s="89"/>
    </row>
    <row r="178" ht="14.25" customHeight="1">
      <c r="B178" s="130"/>
      <c r="J178" s="131"/>
      <c r="K178" s="131"/>
      <c r="L178" s="131"/>
      <c r="M178" s="131"/>
      <c r="N178" s="131"/>
      <c r="O178" s="132"/>
      <c r="Q178" s="89"/>
      <c r="R178" s="130"/>
      <c r="T178" s="89"/>
    </row>
    <row r="179" ht="14.25" customHeight="1">
      <c r="B179" s="130"/>
      <c r="J179" s="131"/>
      <c r="K179" s="131"/>
      <c r="L179" s="131"/>
      <c r="M179" s="131"/>
      <c r="N179" s="131"/>
      <c r="O179" s="132"/>
      <c r="Q179" s="89"/>
      <c r="R179" s="130"/>
      <c r="T179" s="89"/>
    </row>
    <row r="180" ht="14.25" customHeight="1">
      <c r="B180" s="130"/>
      <c r="J180" s="131"/>
      <c r="K180" s="131"/>
      <c r="L180" s="131"/>
      <c r="M180" s="131"/>
      <c r="N180" s="131"/>
      <c r="O180" s="132"/>
      <c r="Q180" s="89"/>
      <c r="R180" s="130"/>
      <c r="T180" s="89"/>
    </row>
    <row r="181" ht="14.25" customHeight="1">
      <c r="B181" s="130"/>
      <c r="J181" s="131"/>
      <c r="K181" s="131"/>
      <c r="L181" s="131"/>
      <c r="M181" s="131"/>
      <c r="N181" s="131"/>
      <c r="O181" s="132"/>
      <c r="Q181" s="89"/>
      <c r="R181" s="130"/>
      <c r="T181" s="89"/>
    </row>
    <row r="182" ht="14.25" customHeight="1">
      <c r="B182" s="130"/>
      <c r="J182" s="131"/>
      <c r="K182" s="131"/>
      <c r="L182" s="131"/>
      <c r="M182" s="131"/>
      <c r="N182" s="131"/>
      <c r="O182" s="132"/>
      <c r="Q182" s="89"/>
      <c r="R182" s="130"/>
      <c r="T182" s="89"/>
    </row>
    <row r="183" ht="14.25" customHeight="1">
      <c r="B183" s="130"/>
      <c r="J183" s="131"/>
      <c r="K183" s="131"/>
      <c r="L183" s="131"/>
      <c r="M183" s="131"/>
      <c r="N183" s="131"/>
      <c r="O183" s="132"/>
      <c r="Q183" s="89"/>
      <c r="R183" s="130"/>
      <c r="T183" s="89"/>
    </row>
    <row r="184" ht="14.25" customHeight="1">
      <c r="B184" s="130"/>
      <c r="J184" s="131"/>
      <c r="K184" s="131"/>
      <c r="L184" s="131"/>
      <c r="M184" s="131"/>
      <c r="N184" s="131"/>
      <c r="O184" s="132"/>
      <c r="Q184" s="89"/>
      <c r="R184" s="130"/>
      <c r="T184" s="89"/>
    </row>
    <row r="185" ht="14.25" customHeight="1">
      <c r="B185" s="130"/>
      <c r="J185" s="131"/>
      <c r="K185" s="131"/>
      <c r="L185" s="131"/>
      <c r="M185" s="131"/>
      <c r="N185" s="131"/>
      <c r="O185" s="132"/>
      <c r="Q185" s="89"/>
      <c r="R185" s="130"/>
      <c r="T185" s="89"/>
    </row>
    <row r="186" ht="14.25" customHeight="1">
      <c r="B186" s="130"/>
      <c r="J186" s="131"/>
      <c r="K186" s="131"/>
      <c r="L186" s="131"/>
      <c r="M186" s="131"/>
      <c r="N186" s="131"/>
      <c r="O186" s="132"/>
      <c r="Q186" s="89"/>
      <c r="R186" s="130"/>
      <c r="T186" s="89"/>
    </row>
    <row r="187" ht="14.25" customHeight="1">
      <c r="B187" s="130"/>
      <c r="J187" s="131"/>
      <c r="K187" s="131"/>
      <c r="L187" s="131"/>
      <c r="M187" s="131"/>
      <c r="N187" s="131"/>
      <c r="O187" s="132"/>
      <c r="Q187" s="89"/>
      <c r="R187" s="130"/>
      <c r="T187" s="89"/>
    </row>
    <row r="188" ht="14.25" customHeight="1">
      <c r="B188" s="130"/>
      <c r="J188" s="131"/>
      <c r="K188" s="131"/>
      <c r="L188" s="131"/>
      <c r="M188" s="131"/>
      <c r="N188" s="131"/>
      <c r="O188" s="132"/>
      <c r="Q188" s="89"/>
      <c r="R188" s="130"/>
      <c r="T188" s="89"/>
    </row>
    <row r="189" ht="14.25" customHeight="1">
      <c r="B189" s="130"/>
      <c r="J189" s="131"/>
      <c r="K189" s="131"/>
      <c r="L189" s="131"/>
      <c r="M189" s="131"/>
      <c r="N189" s="131"/>
      <c r="O189" s="132"/>
      <c r="Q189" s="89"/>
      <c r="R189" s="130"/>
      <c r="T189" s="89"/>
    </row>
    <row r="190" ht="14.25" customHeight="1">
      <c r="B190" s="130"/>
      <c r="J190" s="131"/>
      <c r="K190" s="131"/>
      <c r="L190" s="131"/>
      <c r="M190" s="131"/>
      <c r="N190" s="131"/>
      <c r="O190" s="132"/>
      <c r="Q190" s="89"/>
      <c r="R190" s="130"/>
      <c r="T190" s="89"/>
    </row>
    <row r="191" ht="14.25" customHeight="1">
      <c r="B191" s="130"/>
      <c r="J191" s="131"/>
      <c r="K191" s="131"/>
      <c r="L191" s="131"/>
      <c r="M191" s="131"/>
      <c r="N191" s="131"/>
      <c r="O191" s="132"/>
      <c r="Q191" s="89"/>
      <c r="R191" s="130"/>
      <c r="T191" s="89"/>
    </row>
    <row r="192" ht="14.25" customHeight="1">
      <c r="B192" s="130"/>
      <c r="J192" s="131"/>
      <c r="K192" s="131"/>
      <c r="L192" s="131"/>
      <c r="M192" s="131"/>
      <c r="N192" s="131"/>
      <c r="O192" s="132"/>
      <c r="Q192" s="89"/>
      <c r="R192" s="130"/>
      <c r="T192" s="89"/>
    </row>
    <row r="193" ht="14.25" customHeight="1">
      <c r="B193" s="130"/>
      <c r="J193" s="131"/>
      <c r="K193" s="131"/>
      <c r="L193" s="131"/>
      <c r="M193" s="131"/>
      <c r="N193" s="131"/>
      <c r="O193" s="132"/>
      <c r="Q193" s="89"/>
      <c r="R193" s="130"/>
      <c r="T193" s="89"/>
    </row>
    <row r="194" ht="14.25" customHeight="1">
      <c r="B194" s="130"/>
      <c r="J194" s="131"/>
      <c r="K194" s="131"/>
      <c r="L194" s="131"/>
      <c r="M194" s="131"/>
      <c r="N194" s="131"/>
      <c r="O194" s="132"/>
      <c r="Q194" s="89"/>
      <c r="R194" s="130"/>
      <c r="T194" s="89"/>
    </row>
    <row r="195" ht="14.25" customHeight="1">
      <c r="B195" s="130"/>
      <c r="J195" s="131"/>
      <c r="K195" s="131"/>
      <c r="L195" s="131"/>
      <c r="M195" s="131"/>
      <c r="N195" s="131"/>
      <c r="O195" s="132"/>
      <c r="Q195" s="89"/>
      <c r="R195" s="130"/>
      <c r="T195" s="89"/>
    </row>
    <row r="196" ht="14.25" customHeight="1">
      <c r="B196" s="130"/>
      <c r="J196" s="131"/>
      <c r="K196" s="131"/>
      <c r="L196" s="131"/>
      <c r="M196" s="131"/>
      <c r="N196" s="131"/>
      <c r="O196" s="132"/>
      <c r="Q196" s="89"/>
      <c r="R196" s="130"/>
      <c r="T196" s="89"/>
    </row>
    <row r="197" ht="14.25" customHeight="1">
      <c r="B197" s="130"/>
      <c r="J197" s="131"/>
      <c r="K197" s="131"/>
      <c r="L197" s="131"/>
      <c r="M197" s="131"/>
      <c r="N197" s="131"/>
      <c r="O197" s="132"/>
      <c r="Q197" s="89"/>
      <c r="R197" s="130"/>
      <c r="T197" s="89"/>
    </row>
    <row r="198" ht="14.25" customHeight="1">
      <c r="B198" s="130"/>
      <c r="J198" s="131"/>
      <c r="K198" s="131"/>
      <c r="L198" s="131"/>
      <c r="M198" s="131"/>
      <c r="N198" s="131"/>
      <c r="O198" s="132"/>
      <c r="Q198" s="89"/>
      <c r="R198" s="130"/>
      <c r="T198" s="89"/>
    </row>
    <row r="199" ht="14.25" customHeight="1">
      <c r="B199" s="130"/>
      <c r="J199" s="131"/>
      <c r="K199" s="131"/>
      <c r="L199" s="131"/>
      <c r="M199" s="131"/>
      <c r="N199" s="131"/>
      <c r="O199" s="132"/>
      <c r="Q199" s="89"/>
      <c r="R199" s="130"/>
      <c r="T199" s="89"/>
    </row>
    <row r="200" ht="14.25" customHeight="1">
      <c r="B200" s="130"/>
      <c r="J200" s="131"/>
      <c r="K200" s="131"/>
      <c r="L200" s="131"/>
      <c r="M200" s="131"/>
      <c r="N200" s="131"/>
      <c r="O200" s="132"/>
      <c r="Q200" s="89"/>
      <c r="R200" s="130"/>
      <c r="T200" s="89"/>
    </row>
    <row r="201" ht="14.25" customHeight="1">
      <c r="B201" s="130"/>
      <c r="J201" s="131"/>
      <c r="K201" s="131"/>
      <c r="L201" s="131"/>
      <c r="M201" s="131"/>
      <c r="N201" s="131"/>
      <c r="O201" s="132"/>
      <c r="Q201" s="89"/>
      <c r="R201" s="130"/>
      <c r="T201" s="89"/>
    </row>
    <row r="202" ht="14.25" customHeight="1">
      <c r="B202" s="130"/>
      <c r="J202" s="131"/>
      <c r="K202" s="131"/>
      <c r="L202" s="131"/>
      <c r="M202" s="131"/>
      <c r="N202" s="131"/>
      <c r="O202" s="132"/>
      <c r="Q202" s="89"/>
      <c r="R202" s="130"/>
      <c r="T202" s="89"/>
    </row>
    <row r="203" ht="14.25" customHeight="1">
      <c r="B203" s="130"/>
      <c r="J203" s="131"/>
      <c r="K203" s="131"/>
      <c r="L203" s="131"/>
      <c r="M203" s="131"/>
      <c r="N203" s="131"/>
      <c r="O203" s="132"/>
      <c r="Q203" s="89"/>
      <c r="R203" s="130"/>
      <c r="T203" s="89"/>
    </row>
    <row r="204" ht="14.25" customHeight="1">
      <c r="B204" s="130"/>
      <c r="J204" s="131"/>
      <c r="K204" s="131"/>
      <c r="L204" s="131"/>
      <c r="M204" s="131"/>
      <c r="N204" s="131"/>
      <c r="O204" s="132"/>
      <c r="Q204" s="89"/>
      <c r="R204" s="130"/>
      <c r="T204" s="89"/>
    </row>
    <row r="205" ht="14.25" customHeight="1">
      <c r="B205" s="130"/>
      <c r="J205" s="131"/>
      <c r="K205" s="131"/>
      <c r="L205" s="131"/>
      <c r="M205" s="131"/>
      <c r="N205" s="131"/>
      <c r="O205" s="132"/>
      <c r="Q205" s="89"/>
      <c r="R205" s="130"/>
      <c r="T205" s="89"/>
    </row>
    <row r="206" ht="14.25" customHeight="1">
      <c r="B206" s="130"/>
      <c r="J206" s="131"/>
      <c r="K206" s="131"/>
      <c r="L206" s="131"/>
      <c r="M206" s="131"/>
      <c r="N206" s="131"/>
      <c r="O206" s="132"/>
      <c r="Q206" s="89"/>
      <c r="R206" s="130"/>
      <c r="T206" s="89"/>
    </row>
    <row r="207" ht="14.25" customHeight="1">
      <c r="B207" s="130"/>
      <c r="J207" s="131"/>
      <c r="K207" s="131"/>
      <c r="L207" s="131"/>
      <c r="M207" s="131"/>
      <c r="N207" s="131"/>
      <c r="O207" s="132"/>
      <c r="Q207" s="89"/>
      <c r="R207" s="130"/>
      <c r="T207" s="89"/>
    </row>
    <row r="208" ht="14.25" customHeight="1">
      <c r="B208" s="130"/>
      <c r="J208" s="131"/>
      <c r="K208" s="131"/>
      <c r="L208" s="131"/>
      <c r="M208" s="131"/>
      <c r="N208" s="131"/>
      <c r="O208" s="132"/>
      <c r="Q208" s="89"/>
      <c r="R208" s="130"/>
      <c r="T208" s="89"/>
    </row>
    <row r="209" ht="14.25" customHeight="1">
      <c r="B209" s="130"/>
      <c r="J209" s="131"/>
      <c r="K209" s="131"/>
      <c r="L209" s="131"/>
      <c r="M209" s="131"/>
      <c r="N209" s="131"/>
      <c r="O209" s="132"/>
      <c r="Q209" s="89"/>
      <c r="R209" s="130"/>
      <c r="T209" s="89"/>
    </row>
    <row r="210" ht="14.25" customHeight="1">
      <c r="B210" s="130"/>
      <c r="J210" s="131"/>
      <c r="K210" s="131"/>
      <c r="L210" s="131"/>
      <c r="M210" s="131"/>
      <c r="N210" s="131"/>
      <c r="O210" s="132"/>
      <c r="Q210" s="89"/>
      <c r="R210" s="130"/>
      <c r="T210" s="89"/>
    </row>
    <row r="211" ht="14.25" customHeight="1">
      <c r="B211" s="130"/>
      <c r="J211" s="131"/>
      <c r="K211" s="131"/>
      <c r="L211" s="131"/>
      <c r="M211" s="131"/>
      <c r="N211" s="131"/>
      <c r="O211" s="132"/>
      <c r="Q211" s="89"/>
      <c r="R211" s="130"/>
      <c r="T211" s="89"/>
    </row>
    <row r="212" ht="14.25" customHeight="1">
      <c r="B212" s="130"/>
      <c r="J212" s="131"/>
      <c r="K212" s="131"/>
      <c r="L212" s="131"/>
      <c r="M212" s="131"/>
      <c r="N212" s="131"/>
      <c r="O212" s="132"/>
      <c r="Q212" s="89"/>
      <c r="R212" s="130"/>
      <c r="T212" s="89"/>
    </row>
    <row r="213" ht="14.25" customHeight="1">
      <c r="B213" s="130"/>
      <c r="J213" s="131"/>
      <c r="K213" s="131"/>
      <c r="L213" s="131"/>
      <c r="M213" s="131"/>
      <c r="N213" s="131"/>
      <c r="O213" s="132"/>
      <c r="Q213" s="89"/>
      <c r="R213" s="130"/>
      <c r="T213" s="89"/>
    </row>
    <row r="214" ht="14.25" customHeight="1">
      <c r="B214" s="130"/>
      <c r="J214" s="131"/>
      <c r="K214" s="131"/>
      <c r="L214" s="131"/>
      <c r="M214" s="131"/>
      <c r="N214" s="131"/>
      <c r="O214" s="132"/>
      <c r="Q214" s="89"/>
      <c r="R214" s="130"/>
      <c r="T214" s="89"/>
    </row>
    <row r="215" ht="14.25" customHeight="1">
      <c r="B215" s="130"/>
      <c r="J215" s="131"/>
      <c r="K215" s="131"/>
      <c r="L215" s="131"/>
      <c r="M215" s="131"/>
      <c r="N215" s="131"/>
      <c r="O215" s="132"/>
      <c r="Q215" s="89"/>
      <c r="R215" s="130"/>
      <c r="T215" s="89"/>
    </row>
    <row r="216" ht="14.25" customHeight="1">
      <c r="B216" s="130"/>
      <c r="J216" s="131"/>
      <c r="K216" s="131"/>
      <c r="L216" s="131"/>
      <c r="M216" s="131"/>
      <c r="N216" s="131"/>
      <c r="O216" s="132"/>
      <c r="Q216" s="89"/>
      <c r="R216" s="130"/>
      <c r="T216" s="89"/>
    </row>
    <row r="217" ht="14.25" customHeight="1">
      <c r="B217" s="130"/>
      <c r="J217" s="131"/>
      <c r="K217" s="131"/>
      <c r="L217" s="131"/>
      <c r="M217" s="131"/>
      <c r="N217" s="131"/>
      <c r="O217" s="132"/>
      <c r="Q217" s="89"/>
      <c r="R217" s="130"/>
      <c r="T217" s="89"/>
    </row>
    <row r="218" ht="14.25" customHeight="1">
      <c r="B218" s="130"/>
      <c r="J218" s="131"/>
      <c r="K218" s="131"/>
      <c r="L218" s="131"/>
      <c r="M218" s="131"/>
      <c r="N218" s="131"/>
      <c r="O218" s="132"/>
      <c r="Q218" s="89"/>
      <c r="R218" s="130"/>
      <c r="T218" s="89"/>
    </row>
    <row r="219" ht="14.25" customHeight="1">
      <c r="B219" s="130"/>
      <c r="J219" s="131"/>
      <c r="K219" s="131"/>
      <c r="L219" s="131"/>
      <c r="M219" s="131"/>
      <c r="N219" s="131"/>
      <c r="O219" s="132"/>
      <c r="Q219" s="89"/>
      <c r="R219" s="130"/>
      <c r="T219" s="89"/>
    </row>
    <row r="220" ht="14.25" customHeight="1">
      <c r="B220" s="130"/>
      <c r="J220" s="131"/>
      <c r="K220" s="131"/>
      <c r="L220" s="131"/>
      <c r="M220" s="131"/>
      <c r="N220" s="131"/>
      <c r="O220" s="132"/>
      <c r="Q220" s="89"/>
      <c r="R220" s="130"/>
      <c r="T220" s="89"/>
    </row>
    <row r="221" ht="14.25" customHeight="1">
      <c r="B221" s="130"/>
      <c r="J221" s="131"/>
      <c r="K221" s="131"/>
      <c r="L221" s="131"/>
      <c r="M221" s="131"/>
      <c r="N221" s="131"/>
      <c r="O221" s="132"/>
      <c r="Q221" s="89"/>
      <c r="R221" s="130"/>
      <c r="T221" s="89"/>
    </row>
    <row r="222" ht="14.25" customHeight="1">
      <c r="B222" s="130"/>
      <c r="J222" s="131"/>
      <c r="K222" s="131"/>
      <c r="L222" s="131"/>
      <c r="M222" s="131"/>
      <c r="N222" s="131"/>
      <c r="O222" s="132"/>
      <c r="Q222" s="89"/>
      <c r="R222" s="130"/>
      <c r="T222" s="89"/>
    </row>
    <row r="223" ht="14.25" customHeight="1">
      <c r="B223" s="130"/>
      <c r="J223" s="131"/>
      <c r="K223" s="131"/>
      <c r="L223" s="131"/>
      <c r="M223" s="131"/>
      <c r="N223" s="131"/>
      <c r="O223" s="132"/>
      <c r="Q223" s="89"/>
      <c r="R223" s="130"/>
      <c r="T223" s="89"/>
    </row>
    <row r="224" ht="14.25" customHeight="1">
      <c r="B224" s="130"/>
      <c r="J224" s="131"/>
      <c r="K224" s="131"/>
      <c r="L224" s="131"/>
      <c r="M224" s="131"/>
      <c r="N224" s="131"/>
      <c r="O224" s="132"/>
      <c r="Q224" s="89"/>
      <c r="R224" s="130"/>
      <c r="T224" s="89"/>
    </row>
    <row r="225" ht="14.25" customHeight="1">
      <c r="B225" s="130"/>
      <c r="J225" s="131"/>
      <c r="K225" s="131"/>
      <c r="L225" s="131"/>
      <c r="M225" s="131"/>
      <c r="N225" s="131"/>
      <c r="O225" s="132"/>
      <c r="Q225" s="89"/>
      <c r="R225" s="130"/>
      <c r="T225" s="89"/>
    </row>
    <row r="226" ht="14.25" customHeight="1">
      <c r="B226" s="130"/>
      <c r="J226" s="131"/>
      <c r="K226" s="131"/>
      <c r="L226" s="131"/>
      <c r="M226" s="131"/>
      <c r="N226" s="131"/>
      <c r="O226" s="132"/>
      <c r="Q226" s="89"/>
      <c r="R226" s="130"/>
      <c r="T226" s="89"/>
    </row>
    <row r="227" ht="14.25" customHeight="1">
      <c r="B227" s="130"/>
      <c r="J227" s="131"/>
      <c r="K227" s="131"/>
      <c r="L227" s="131"/>
      <c r="M227" s="131"/>
      <c r="N227" s="131"/>
      <c r="O227" s="132"/>
      <c r="Q227" s="89"/>
      <c r="R227" s="130"/>
      <c r="T227" s="89"/>
    </row>
    <row r="228" ht="14.25" customHeight="1">
      <c r="B228" s="130"/>
      <c r="J228" s="131"/>
      <c r="K228" s="131"/>
      <c r="L228" s="131"/>
      <c r="M228" s="131"/>
      <c r="N228" s="131"/>
      <c r="O228" s="132"/>
      <c r="Q228" s="89"/>
      <c r="R228" s="130"/>
      <c r="T228" s="89"/>
    </row>
    <row r="229" ht="14.25" customHeight="1">
      <c r="B229" s="130"/>
      <c r="J229" s="131"/>
      <c r="K229" s="131"/>
      <c r="L229" s="131"/>
      <c r="M229" s="131"/>
      <c r="N229" s="131"/>
      <c r="O229" s="132"/>
      <c r="Q229" s="89"/>
      <c r="R229" s="130"/>
      <c r="T229" s="89"/>
    </row>
    <row r="230" ht="14.25" customHeight="1">
      <c r="B230" s="130"/>
      <c r="J230" s="131"/>
      <c r="K230" s="131"/>
      <c r="L230" s="131"/>
      <c r="M230" s="131"/>
      <c r="N230" s="131"/>
      <c r="O230" s="132"/>
      <c r="Q230" s="89"/>
      <c r="R230" s="130"/>
      <c r="T230" s="89"/>
    </row>
    <row r="231" ht="14.25" customHeight="1">
      <c r="B231" s="130"/>
      <c r="J231" s="131"/>
      <c r="K231" s="131"/>
      <c r="L231" s="131"/>
      <c r="M231" s="131"/>
      <c r="N231" s="131"/>
      <c r="O231" s="132"/>
      <c r="Q231" s="89"/>
      <c r="R231" s="130"/>
      <c r="T231" s="89"/>
    </row>
    <row r="232" ht="14.25" customHeight="1">
      <c r="B232" s="130"/>
      <c r="J232" s="131"/>
      <c r="K232" s="131"/>
      <c r="L232" s="131"/>
      <c r="M232" s="131"/>
      <c r="N232" s="131"/>
      <c r="O232" s="132"/>
      <c r="Q232" s="89"/>
      <c r="R232" s="130"/>
      <c r="T232" s="89"/>
    </row>
    <row r="233" ht="14.25" customHeight="1">
      <c r="B233" s="130"/>
      <c r="J233" s="131"/>
      <c r="K233" s="131"/>
      <c r="L233" s="131"/>
      <c r="M233" s="131"/>
      <c r="N233" s="131"/>
      <c r="O233" s="132"/>
      <c r="Q233" s="89"/>
      <c r="R233" s="130"/>
      <c r="T233" s="89"/>
    </row>
    <row r="234" ht="14.25" customHeight="1">
      <c r="B234" s="130"/>
      <c r="J234" s="131"/>
      <c r="K234" s="131"/>
      <c r="L234" s="131"/>
      <c r="M234" s="131"/>
      <c r="N234" s="131"/>
      <c r="O234" s="132"/>
      <c r="Q234" s="89"/>
      <c r="R234" s="130"/>
      <c r="T234" s="89"/>
    </row>
    <row r="235" ht="14.25" customHeight="1">
      <c r="B235" s="130"/>
      <c r="J235" s="131"/>
      <c r="K235" s="131"/>
      <c r="L235" s="131"/>
      <c r="M235" s="131"/>
      <c r="N235" s="131"/>
      <c r="O235" s="132"/>
      <c r="Q235" s="89"/>
      <c r="R235" s="130"/>
      <c r="T235" s="89"/>
    </row>
    <row r="236" ht="14.25" customHeight="1">
      <c r="B236" s="130"/>
      <c r="J236" s="131"/>
      <c r="K236" s="131"/>
      <c r="L236" s="131"/>
      <c r="M236" s="131"/>
      <c r="N236" s="131"/>
      <c r="O236" s="132"/>
      <c r="Q236" s="89"/>
      <c r="R236" s="130"/>
      <c r="T236" s="89"/>
    </row>
    <row r="237" ht="14.25" customHeight="1">
      <c r="B237" s="130"/>
      <c r="J237" s="131"/>
      <c r="K237" s="131"/>
      <c r="L237" s="131"/>
      <c r="M237" s="131"/>
      <c r="N237" s="131"/>
      <c r="O237" s="132"/>
      <c r="Q237" s="89"/>
      <c r="R237" s="130"/>
      <c r="T237" s="89"/>
    </row>
    <row r="238" ht="14.25" customHeight="1">
      <c r="B238" s="130"/>
      <c r="J238" s="131"/>
      <c r="K238" s="131"/>
      <c r="L238" s="131"/>
      <c r="M238" s="131"/>
      <c r="N238" s="131"/>
      <c r="O238" s="132"/>
      <c r="Q238" s="89"/>
      <c r="R238" s="130"/>
      <c r="T238" s="89"/>
    </row>
    <row r="239" ht="14.25" customHeight="1">
      <c r="B239" s="130"/>
      <c r="J239" s="131"/>
      <c r="K239" s="131"/>
      <c r="L239" s="131"/>
      <c r="M239" s="131"/>
      <c r="N239" s="131"/>
      <c r="O239" s="132"/>
      <c r="Q239" s="89"/>
      <c r="R239" s="130"/>
      <c r="T239" s="89"/>
    </row>
    <row r="240" ht="14.25" customHeight="1">
      <c r="B240" s="130"/>
      <c r="J240" s="131"/>
      <c r="K240" s="131"/>
      <c r="L240" s="131"/>
      <c r="M240" s="131"/>
      <c r="N240" s="131"/>
      <c r="O240" s="132"/>
      <c r="Q240" s="89"/>
      <c r="R240" s="130"/>
      <c r="T240" s="89"/>
    </row>
    <row r="241" ht="14.25" customHeight="1">
      <c r="B241" s="130"/>
      <c r="J241" s="131"/>
      <c r="K241" s="131"/>
      <c r="L241" s="131"/>
      <c r="M241" s="131"/>
      <c r="N241" s="131"/>
      <c r="O241" s="132"/>
      <c r="Q241" s="89"/>
      <c r="R241" s="130"/>
      <c r="T241" s="89"/>
    </row>
    <row r="242" ht="14.25" customHeight="1">
      <c r="B242" s="130"/>
      <c r="J242" s="131"/>
      <c r="K242" s="131"/>
      <c r="L242" s="131"/>
      <c r="M242" s="131"/>
      <c r="N242" s="131"/>
      <c r="O242" s="132"/>
      <c r="Q242" s="89"/>
      <c r="R242" s="130"/>
      <c r="T242" s="89"/>
    </row>
    <row r="243" ht="14.25" customHeight="1">
      <c r="B243" s="130"/>
      <c r="J243" s="131"/>
      <c r="K243" s="131"/>
      <c r="L243" s="131"/>
      <c r="M243" s="131"/>
      <c r="N243" s="131"/>
      <c r="O243" s="132"/>
      <c r="Q243" s="89"/>
      <c r="R243" s="130"/>
      <c r="T243" s="89"/>
    </row>
    <row r="244" ht="14.25" customHeight="1">
      <c r="B244" s="130"/>
      <c r="J244" s="131"/>
      <c r="K244" s="131"/>
      <c r="L244" s="131"/>
      <c r="M244" s="131"/>
      <c r="N244" s="131"/>
      <c r="O244" s="132"/>
      <c r="Q244" s="89"/>
      <c r="R244" s="130"/>
      <c r="T244" s="89"/>
    </row>
    <row r="245" ht="14.25" customHeight="1">
      <c r="B245" s="130"/>
      <c r="J245" s="131"/>
      <c r="K245" s="131"/>
      <c r="L245" s="131"/>
      <c r="M245" s="131"/>
      <c r="N245" s="131"/>
      <c r="O245" s="132"/>
      <c r="Q245" s="89"/>
      <c r="R245" s="130"/>
      <c r="T245" s="89"/>
    </row>
    <row r="246" ht="14.25" customHeight="1">
      <c r="B246" s="130"/>
      <c r="J246" s="131"/>
      <c r="K246" s="131"/>
      <c r="L246" s="131"/>
      <c r="M246" s="131"/>
      <c r="N246" s="131"/>
      <c r="O246" s="132"/>
      <c r="Q246" s="89"/>
      <c r="R246" s="130"/>
      <c r="T246" s="89"/>
    </row>
    <row r="247" ht="14.25" customHeight="1">
      <c r="B247" s="130"/>
      <c r="J247" s="131"/>
      <c r="K247" s="131"/>
      <c r="L247" s="131"/>
      <c r="M247" s="131"/>
      <c r="N247" s="131"/>
      <c r="O247" s="132"/>
      <c r="Q247" s="89"/>
      <c r="R247" s="130"/>
      <c r="T247" s="89"/>
    </row>
    <row r="248" ht="14.25" customHeight="1">
      <c r="B248" s="130"/>
      <c r="J248" s="131"/>
      <c r="K248" s="131"/>
      <c r="L248" s="131"/>
      <c r="M248" s="131"/>
      <c r="N248" s="131"/>
      <c r="O248" s="132"/>
      <c r="Q248" s="89"/>
      <c r="R248" s="130"/>
      <c r="T248" s="89"/>
    </row>
    <row r="249" ht="14.25" customHeight="1">
      <c r="B249" s="130"/>
      <c r="J249" s="131"/>
      <c r="K249" s="131"/>
      <c r="L249" s="131"/>
      <c r="M249" s="131"/>
      <c r="N249" s="131"/>
      <c r="O249" s="132"/>
      <c r="Q249" s="89"/>
      <c r="R249" s="130"/>
      <c r="T249" s="89"/>
    </row>
    <row r="250" ht="14.25" customHeight="1">
      <c r="B250" s="130"/>
      <c r="J250" s="131"/>
      <c r="K250" s="131"/>
      <c r="L250" s="131"/>
      <c r="M250" s="131"/>
      <c r="N250" s="131"/>
      <c r="O250" s="132"/>
      <c r="Q250" s="89"/>
      <c r="R250" s="130"/>
      <c r="T250" s="89"/>
    </row>
    <row r="251" ht="14.25" customHeight="1">
      <c r="B251" s="130"/>
      <c r="J251" s="131"/>
      <c r="K251" s="131"/>
      <c r="L251" s="131"/>
      <c r="M251" s="131"/>
      <c r="N251" s="131"/>
      <c r="O251" s="132"/>
      <c r="Q251" s="89"/>
      <c r="R251" s="130"/>
      <c r="T251" s="89"/>
    </row>
    <row r="252" ht="14.25" customHeight="1">
      <c r="B252" s="130"/>
      <c r="J252" s="131"/>
      <c r="K252" s="131"/>
      <c r="L252" s="131"/>
      <c r="M252" s="131"/>
      <c r="N252" s="131"/>
      <c r="O252" s="132"/>
      <c r="Q252" s="89"/>
      <c r="R252" s="130"/>
      <c r="T252" s="89"/>
    </row>
    <row r="253" ht="14.25" customHeight="1">
      <c r="B253" s="130"/>
      <c r="J253" s="131"/>
      <c r="K253" s="131"/>
      <c r="L253" s="131"/>
      <c r="M253" s="131"/>
      <c r="N253" s="131"/>
      <c r="O253" s="132"/>
      <c r="Q253" s="89"/>
      <c r="R253" s="130"/>
      <c r="T253" s="89"/>
    </row>
    <row r="254" ht="14.25" customHeight="1">
      <c r="B254" s="130"/>
      <c r="J254" s="131"/>
      <c r="K254" s="131"/>
      <c r="L254" s="131"/>
      <c r="M254" s="131"/>
      <c r="N254" s="131"/>
      <c r="O254" s="132"/>
      <c r="Q254" s="89"/>
      <c r="R254" s="130"/>
      <c r="T254" s="89"/>
    </row>
    <row r="255" ht="14.25" customHeight="1">
      <c r="B255" s="130"/>
      <c r="J255" s="131"/>
      <c r="K255" s="131"/>
      <c r="L255" s="131"/>
      <c r="M255" s="131"/>
      <c r="N255" s="131"/>
      <c r="O255" s="132"/>
      <c r="Q255" s="89"/>
      <c r="R255" s="130"/>
      <c r="T255" s="89"/>
    </row>
    <row r="256" ht="14.25" customHeight="1">
      <c r="B256" s="130"/>
      <c r="J256" s="131"/>
      <c r="K256" s="131"/>
      <c r="L256" s="131"/>
      <c r="M256" s="131"/>
      <c r="N256" s="131"/>
      <c r="O256" s="132"/>
      <c r="Q256" s="89"/>
      <c r="R256" s="130"/>
      <c r="T256" s="89"/>
    </row>
    <row r="257" ht="14.25" customHeight="1">
      <c r="B257" s="130"/>
      <c r="J257" s="131"/>
      <c r="K257" s="131"/>
      <c r="L257" s="131"/>
      <c r="M257" s="131"/>
      <c r="N257" s="131"/>
      <c r="O257" s="132"/>
      <c r="Q257" s="89"/>
      <c r="R257" s="130"/>
      <c r="T257" s="89"/>
    </row>
    <row r="258" ht="14.25" customHeight="1">
      <c r="B258" s="130"/>
      <c r="J258" s="131"/>
      <c r="K258" s="131"/>
      <c r="L258" s="131"/>
      <c r="M258" s="131"/>
      <c r="N258" s="131"/>
      <c r="O258" s="132"/>
      <c r="Q258" s="89"/>
      <c r="R258" s="130"/>
      <c r="T258" s="89"/>
    </row>
    <row r="259" ht="14.25" customHeight="1">
      <c r="B259" s="130"/>
      <c r="J259" s="131"/>
      <c r="K259" s="131"/>
      <c r="L259" s="131"/>
      <c r="M259" s="131"/>
      <c r="N259" s="131"/>
      <c r="O259" s="132"/>
      <c r="Q259" s="89"/>
      <c r="R259" s="130"/>
      <c r="T259" s="89"/>
    </row>
    <row r="260" ht="14.25" customHeight="1">
      <c r="K260" s="89"/>
      <c r="Q260" s="89"/>
      <c r="T260" s="89"/>
    </row>
    <row r="261" ht="14.25" customHeight="1">
      <c r="K261" s="89"/>
      <c r="Q261" s="89"/>
      <c r="T261" s="89"/>
    </row>
    <row r="262" ht="14.25" customHeight="1">
      <c r="K262" s="89"/>
      <c r="Q262" s="89"/>
      <c r="T262" s="89"/>
    </row>
    <row r="263" ht="14.25" customHeight="1">
      <c r="K263" s="89"/>
      <c r="Q263" s="89"/>
      <c r="T263" s="89"/>
    </row>
    <row r="264" ht="14.25" customHeight="1">
      <c r="K264" s="89"/>
      <c r="Q264" s="89"/>
      <c r="T264" s="89"/>
    </row>
    <row r="265" ht="14.25" customHeight="1">
      <c r="K265" s="89"/>
      <c r="Q265" s="89"/>
      <c r="T265" s="89"/>
    </row>
    <row r="266" ht="14.25" customHeight="1">
      <c r="K266" s="89"/>
      <c r="Q266" s="89"/>
      <c r="T266" s="89"/>
    </row>
    <row r="267" ht="14.25" customHeight="1">
      <c r="K267" s="89"/>
      <c r="Q267" s="89"/>
      <c r="T267" s="89"/>
    </row>
    <row r="268" ht="14.25" customHeight="1">
      <c r="K268" s="89"/>
      <c r="Q268" s="89"/>
      <c r="T268" s="89"/>
    </row>
    <row r="269" ht="14.25" customHeight="1">
      <c r="K269" s="89"/>
      <c r="Q269" s="89"/>
      <c r="T269" s="89"/>
    </row>
    <row r="270" ht="14.25" customHeight="1">
      <c r="K270" s="89"/>
      <c r="Q270" s="89"/>
      <c r="T270" s="89"/>
    </row>
    <row r="271" ht="14.25" customHeight="1">
      <c r="K271" s="89"/>
      <c r="Q271" s="89"/>
      <c r="T271" s="89"/>
    </row>
    <row r="272" ht="14.25" customHeight="1">
      <c r="K272" s="89"/>
      <c r="Q272" s="89"/>
      <c r="T272" s="89"/>
    </row>
    <row r="273" ht="14.25" customHeight="1">
      <c r="K273" s="89"/>
      <c r="Q273" s="89"/>
      <c r="T273" s="89"/>
    </row>
    <row r="274" ht="14.25" customHeight="1">
      <c r="K274" s="89"/>
      <c r="Q274" s="89"/>
      <c r="T274" s="89"/>
    </row>
    <row r="275" ht="14.25" customHeight="1">
      <c r="K275" s="89"/>
      <c r="Q275" s="89"/>
      <c r="T275" s="89"/>
    </row>
    <row r="276" ht="14.25" customHeight="1">
      <c r="K276" s="89"/>
      <c r="Q276" s="89"/>
      <c r="T276" s="89"/>
    </row>
    <row r="277" ht="14.25" customHeight="1">
      <c r="K277" s="89"/>
      <c r="Q277" s="89"/>
      <c r="T277" s="89"/>
    </row>
    <row r="278" ht="14.25" customHeight="1">
      <c r="K278" s="89"/>
      <c r="Q278" s="89"/>
      <c r="T278" s="89"/>
    </row>
    <row r="279" ht="14.25" customHeight="1">
      <c r="K279" s="89"/>
      <c r="Q279" s="89"/>
      <c r="T279" s="89"/>
    </row>
    <row r="280" ht="14.25" customHeight="1">
      <c r="K280" s="89"/>
      <c r="Q280" s="89"/>
      <c r="T280" s="89"/>
    </row>
    <row r="281" ht="14.25" customHeight="1">
      <c r="K281" s="89"/>
      <c r="Q281" s="89"/>
      <c r="T281" s="89"/>
    </row>
    <row r="282" ht="14.25" customHeight="1">
      <c r="K282" s="89"/>
      <c r="Q282" s="89"/>
      <c r="T282" s="89"/>
    </row>
    <row r="283" ht="14.25" customHeight="1">
      <c r="K283" s="89"/>
      <c r="Q283" s="89"/>
      <c r="T283" s="89"/>
    </row>
    <row r="284" ht="14.25" customHeight="1">
      <c r="K284" s="89"/>
      <c r="Q284" s="89"/>
      <c r="T284" s="89"/>
    </row>
    <row r="285" ht="14.25" customHeight="1">
      <c r="K285" s="89"/>
      <c r="Q285" s="89"/>
      <c r="T285" s="89"/>
    </row>
    <row r="286" ht="14.25" customHeight="1">
      <c r="K286" s="89"/>
      <c r="Q286" s="89"/>
      <c r="T286" s="89"/>
    </row>
    <row r="287" ht="14.25" customHeight="1">
      <c r="K287" s="89"/>
      <c r="Q287" s="89"/>
      <c r="T287" s="89"/>
    </row>
    <row r="288" ht="14.25" customHeight="1">
      <c r="K288" s="89"/>
      <c r="Q288" s="89"/>
      <c r="T288" s="89"/>
    </row>
    <row r="289" ht="14.25" customHeight="1">
      <c r="K289" s="89"/>
      <c r="Q289" s="89"/>
      <c r="T289" s="89"/>
    </row>
    <row r="290" ht="14.25" customHeight="1">
      <c r="K290" s="89"/>
      <c r="Q290" s="89"/>
      <c r="T290" s="89"/>
    </row>
    <row r="291" ht="14.25" customHeight="1">
      <c r="K291" s="89"/>
      <c r="Q291" s="89"/>
      <c r="T291" s="89"/>
    </row>
    <row r="292" ht="14.25" customHeight="1">
      <c r="K292" s="89"/>
      <c r="Q292" s="89"/>
      <c r="T292" s="89"/>
    </row>
    <row r="293" ht="14.25" customHeight="1">
      <c r="K293" s="89"/>
      <c r="Q293" s="89"/>
      <c r="T293" s="89"/>
    </row>
    <row r="294" ht="14.25" customHeight="1">
      <c r="K294" s="89"/>
      <c r="Q294" s="89"/>
      <c r="T294" s="89"/>
    </row>
    <row r="295" ht="14.25" customHeight="1">
      <c r="K295" s="89"/>
      <c r="Q295" s="89"/>
      <c r="T295" s="89"/>
    </row>
    <row r="296" ht="14.25" customHeight="1">
      <c r="K296" s="89"/>
      <c r="Q296" s="89"/>
      <c r="T296" s="89"/>
    </row>
    <row r="297" ht="14.25" customHeight="1">
      <c r="K297" s="89"/>
      <c r="Q297" s="89"/>
      <c r="T297" s="89"/>
    </row>
    <row r="298" ht="14.25" customHeight="1">
      <c r="K298" s="89"/>
      <c r="Q298" s="89"/>
      <c r="T298" s="89"/>
    </row>
    <row r="299" ht="14.25" customHeight="1">
      <c r="K299" s="89"/>
      <c r="Q299" s="89"/>
      <c r="T299" s="89"/>
    </row>
    <row r="300" ht="14.25" customHeight="1">
      <c r="K300" s="89"/>
      <c r="Q300" s="89"/>
      <c r="T300" s="89"/>
    </row>
    <row r="301" ht="14.25" customHeight="1">
      <c r="K301" s="89"/>
      <c r="Q301" s="89"/>
      <c r="T301" s="89"/>
    </row>
    <row r="302" ht="14.25" customHeight="1">
      <c r="K302" s="89"/>
      <c r="Q302" s="89"/>
      <c r="T302" s="89"/>
    </row>
    <row r="303" ht="14.25" customHeight="1">
      <c r="K303" s="89"/>
      <c r="Q303" s="89"/>
      <c r="T303" s="89"/>
    </row>
    <row r="304" ht="14.25" customHeight="1">
      <c r="K304" s="89"/>
      <c r="Q304" s="89"/>
      <c r="T304" s="89"/>
    </row>
    <row r="305" ht="14.25" customHeight="1">
      <c r="K305" s="89"/>
      <c r="Q305" s="89"/>
      <c r="T305" s="89"/>
    </row>
    <row r="306" ht="14.25" customHeight="1">
      <c r="K306" s="89"/>
      <c r="Q306" s="89"/>
      <c r="T306" s="89"/>
    </row>
    <row r="307" ht="14.25" customHeight="1">
      <c r="K307" s="89"/>
      <c r="Q307" s="89"/>
      <c r="T307" s="89"/>
    </row>
    <row r="308" ht="14.25" customHeight="1">
      <c r="K308" s="89"/>
      <c r="Q308" s="89"/>
      <c r="T308" s="89"/>
    </row>
    <row r="309" ht="14.25" customHeight="1">
      <c r="K309" s="89"/>
      <c r="Q309" s="89"/>
      <c r="T309" s="89"/>
    </row>
    <row r="310" ht="14.25" customHeight="1">
      <c r="K310" s="89"/>
      <c r="Q310" s="89"/>
      <c r="T310" s="89"/>
    </row>
    <row r="311" ht="14.25" customHeight="1">
      <c r="K311" s="89"/>
      <c r="Q311" s="89"/>
      <c r="T311" s="89"/>
    </row>
    <row r="312" ht="14.25" customHeight="1">
      <c r="K312" s="89"/>
      <c r="Q312" s="89"/>
      <c r="T312" s="89"/>
    </row>
    <row r="313" ht="14.25" customHeight="1">
      <c r="K313" s="89"/>
      <c r="Q313" s="89"/>
      <c r="T313" s="89"/>
    </row>
    <row r="314" ht="14.25" customHeight="1">
      <c r="K314" s="89"/>
      <c r="Q314" s="89"/>
      <c r="T314" s="89"/>
    </row>
    <row r="315" ht="14.25" customHeight="1">
      <c r="K315" s="89"/>
      <c r="Q315" s="89"/>
      <c r="T315" s="89"/>
    </row>
    <row r="316" ht="14.25" customHeight="1">
      <c r="K316" s="89"/>
      <c r="Q316" s="89"/>
      <c r="T316" s="89"/>
    </row>
    <row r="317" ht="14.25" customHeight="1">
      <c r="K317" s="89"/>
      <c r="Q317" s="89"/>
      <c r="T317" s="89"/>
    </row>
    <row r="318" ht="14.25" customHeight="1">
      <c r="K318" s="89"/>
      <c r="Q318" s="89"/>
      <c r="T318" s="89"/>
    </row>
    <row r="319" ht="14.25" customHeight="1">
      <c r="K319" s="89"/>
      <c r="Q319" s="89"/>
      <c r="T319" s="89"/>
    </row>
    <row r="320" ht="14.25" customHeight="1">
      <c r="K320" s="89"/>
      <c r="Q320" s="89"/>
      <c r="T320" s="89"/>
    </row>
    <row r="321" ht="14.25" customHeight="1">
      <c r="K321" s="89"/>
      <c r="Q321" s="89"/>
      <c r="T321" s="89"/>
    </row>
    <row r="322" ht="14.25" customHeight="1">
      <c r="K322" s="89"/>
      <c r="Q322" s="89"/>
      <c r="T322" s="89"/>
    </row>
    <row r="323" ht="14.25" customHeight="1">
      <c r="K323" s="89"/>
      <c r="Q323" s="89"/>
      <c r="T323" s="89"/>
    </row>
    <row r="324" ht="14.25" customHeight="1">
      <c r="K324" s="89"/>
      <c r="Q324" s="89"/>
      <c r="T324" s="89"/>
    </row>
    <row r="325" ht="14.25" customHeight="1">
      <c r="K325" s="89"/>
      <c r="Q325" s="89"/>
      <c r="T325" s="89"/>
    </row>
    <row r="326" ht="14.25" customHeight="1">
      <c r="K326" s="89"/>
      <c r="Q326" s="89"/>
      <c r="T326" s="89"/>
    </row>
    <row r="327" ht="14.25" customHeight="1">
      <c r="K327" s="89"/>
      <c r="Q327" s="89"/>
      <c r="T327" s="89"/>
    </row>
    <row r="328" ht="14.25" customHeight="1">
      <c r="K328" s="89"/>
      <c r="Q328" s="89"/>
      <c r="T328" s="89"/>
    </row>
    <row r="329" ht="14.25" customHeight="1">
      <c r="K329" s="89"/>
      <c r="Q329" s="89"/>
      <c r="T329" s="89"/>
    </row>
    <row r="330" ht="14.25" customHeight="1">
      <c r="K330" s="89"/>
      <c r="Q330" s="89"/>
      <c r="T330" s="89"/>
    </row>
    <row r="331" ht="14.25" customHeight="1">
      <c r="K331" s="89"/>
      <c r="Q331" s="89"/>
      <c r="T331" s="89"/>
    </row>
    <row r="332" ht="14.25" customHeight="1">
      <c r="K332" s="89"/>
      <c r="Q332" s="89"/>
      <c r="T332" s="89"/>
    </row>
    <row r="333" ht="14.25" customHeight="1">
      <c r="K333" s="89"/>
      <c r="Q333" s="89"/>
      <c r="T333" s="89"/>
    </row>
    <row r="334" ht="14.25" customHeight="1">
      <c r="K334" s="89"/>
      <c r="Q334" s="89"/>
      <c r="T334" s="89"/>
    </row>
    <row r="335" ht="14.25" customHeight="1">
      <c r="K335" s="89"/>
      <c r="Q335" s="89"/>
      <c r="T335" s="89"/>
    </row>
    <row r="336" ht="14.25" customHeight="1">
      <c r="K336" s="89"/>
      <c r="Q336" s="89"/>
      <c r="T336" s="89"/>
    </row>
    <row r="337" ht="14.25" customHeight="1">
      <c r="K337" s="89"/>
      <c r="Q337" s="89"/>
      <c r="T337" s="89"/>
    </row>
    <row r="338" ht="14.25" customHeight="1">
      <c r="K338" s="89"/>
      <c r="Q338" s="89"/>
      <c r="T338" s="89"/>
    </row>
    <row r="339" ht="14.25" customHeight="1">
      <c r="K339" s="89"/>
      <c r="Q339" s="89"/>
      <c r="T339" s="89"/>
    </row>
    <row r="340" ht="14.25" customHeight="1">
      <c r="K340" s="89"/>
      <c r="Q340" s="89"/>
      <c r="T340" s="89"/>
    </row>
    <row r="341" ht="14.25" customHeight="1">
      <c r="K341" s="89"/>
      <c r="Q341" s="89"/>
      <c r="T341" s="89"/>
    </row>
    <row r="342" ht="14.25" customHeight="1">
      <c r="K342" s="89"/>
      <c r="Q342" s="89"/>
      <c r="T342" s="89"/>
    </row>
    <row r="343" ht="14.25" customHeight="1">
      <c r="K343" s="89"/>
      <c r="Q343" s="89"/>
      <c r="T343" s="89"/>
    </row>
    <row r="344" ht="14.25" customHeight="1">
      <c r="K344" s="89"/>
      <c r="Q344" s="89"/>
      <c r="T344" s="89"/>
    </row>
    <row r="345" ht="14.25" customHeight="1">
      <c r="K345" s="89"/>
      <c r="Q345" s="89"/>
      <c r="T345" s="89"/>
    </row>
    <row r="346" ht="14.25" customHeight="1">
      <c r="K346" s="89"/>
      <c r="Q346" s="89"/>
      <c r="T346" s="89"/>
    </row>
    <row r="347" ht="14.25" customHeight="1">
      <c r="K347" s="89"/>
      <c r="Q347" s="89"/>
      <c r="T347" s="89"/>
    </row>
    <row r="348" ht="14.25" customHeight="1">
      <c r="K348" s="89"/>
      <c r="Q348" s="89"/>
      <c r="T348" s="89"/>
    </row>
    <row r="349" ht="14.25" customHeight="1">
      <c r="K349" s="89"/>
      <c r="Q349" s="89"/>
      <c r="T349" s="89"/>
    </row>
    <row r="350" ht="14.25" customHeight="1">
      <c r="K350" s="89"/>
      <c r="Q350" s="89"/>
      <c r="T350" s="89"/>
    </row>
    <row r="351" ht="14.25" customHeight="1">
      <c r="K351" s="89"/>
      <c r="Q351" s="89"/>
      <c r="T351" s="89"/>
    </row>
    <row r="352" ht="14.25" customHeight="1">
      <c r="K352" s="89"/>
      <c r="Q352" s="89"/>
      <c r="T352" s="89"/>
    </row>
    <row r="353" ht="14.25" customHeight="1">
      <c r="K353" s="89"/>
      <c r="Q353" s="89"/>
      <c r="T353" s="89"/>
    </row>
    <row r="354" ht="14.25" customHeight="1">
      <c r="K354" s="89"/>
      <c r="Q354" s="89"/>
      <c r="T354" s="89"/>
    </row>
    <row r="355" ht="14.25" customHeight="1">
      <c r="K355" s="89"/>
      <c r="Q355" s="89"/>
      <c r="T355" s="89"/>
    </row>
    <row r="356" ht="14.25" customHeight="1">
      <c r="K356" s="89"/>
      <c r="Q356" s="89"/>
      <c r="T356" s="89"/>
    </row>
    <row r="357" ht="14.25" customHeight="1">
      <c r="K357" s="89"/>
      <c r="Q357" s="89"/>
      <c r="T357" s="89"/>
    </row>
    <row r="358" ht="14.25" customHeight="1">
      <c r="K358" s="89"/>
      <c r="Q358" s="89"/>
      <c r="T358" s="89"/>
    </row>
    <row r="359" ht="14.25" customHeight="1">
      <c r="K359" s="89"/>
      <c r="Q359" s="89"/>
      <c r="T359" s="89"/>
    </row>
    <row r="360" ht="14.25" customHeight="1">
      <c r="K360" s="89"/>
      <c r="Q360" s="89"/>
      <c r="T360" s="89"/>
    </row>
    <row r="361" ht="14.25" customHeight="1">
      <c r="K361" s="89"/>
      <c r="Q361" s="89"/>
      <c r="T361" s="89"/>
    </row>
    <row r="362" ht="14.25" customHeight="1">
      <c r="K362" s="89"/>
      <c r="Q362" s="89"/>
      <c r="T362" s="89"/>
    </row>
    <row r="363" ht="14.25" customHeight="1">
      <c r="K363" s="89"/>
      <c r="Q363" s="89"/>
      <c r="T363" s="89"/>
    </row>
    <row r="364" ht="14.25" customHeight="1">
      <c r="K364" s="89"/>
      <c r="Q364" s="89"/>
      <c r="T364" s="89"/>
    </row>
    <row r="365" ht="14.25" customHeight="1">
      <c r="K365" s="89"/>
      <c r="Q365" s="89"/>
      <c r="T365" s="89"/>
    </row>
    <row r="366" ht="14.25" customHeight="1">
      <c r="K366" s="89"/>
      <c r="Q366" s="89"/>
      <c r="T366" s="89"/>
    </row>
    <row r="367" ht="14.25" customHeight="1">
      <c r="K367" s="89"/>
      <c r="Q367" s="89"/>
      <c r="T367" s="89"/>
    </row>
    <row r="368" ht="14.25" customHeight="1">
      <c r="K368" s="89"/>
      <c r="Q368" s="89"/>
      <c r="T368" s="89"/>
    </row>
    <row r="369" ht="14.25" customHeight="1">
      <c r="K369" s="89"/>
      <c r="Q369" s="89"/>
      <c r="T369" s="89"/>
    </row>
    <row r="370" ht="14.25" customHeight="1">
      <c r="K370" s="89"/>
      <c r="Q370" s="89"/>
      <c r="T370" s="89"/>
    </row>
    <row r="371" ht="14.25" customHeight="1">
      <c r="K371" s="89"/>
      <c r="Q371" s="89"/>
      <c r="T371" s="89"/>
    </row>
    <row r="372" ht="14.25" customHeight="1">
      <c r="K372" s="89"/>
      <c r="Q372" s="89"/>
      <c r="T372" s="89"/>
    </row>
    <row r="373" ht="14.25" customHeight="1">
      <c r="K373" s="89"/>
      <c r="Q373" s="89"/>
      <c r="T373" s="89"/>
    </row>
    <row r="374" ht="14.25" customHeight="1">
      <c r="K374" s="89"/>
      <c r="Q374" s="89"/>
      <c r="T374" s="89"/>
    </row>
    <row r="375" ht="14.25" customHeight="1">
      <c r="K375" s="89"/>
      <c r="Q375" s="89"/>
      <c r="T375" s="89"/>
    </row>
    <row r="376" ht="14.25" customHeight="1">
      <c r="K376" s="89"/>
      <c r="Q376" s="89"/>
      <c r="T376" s="89"/>
    </row>
    <row r="377" ht="14.25" customHeight="1">
      <c r="K377" s="89"/>
      <c r="Q377" s="89"/>
      <c r="T377" s="89"/>
    </row>
    <row r="378" ht="14.25" customHeight="1">
      <c r="K378" s="89"/>
      <c r="Q378" s="89"/>
      <c r="T378" s="89"/>
    </row>
    <row r="379" ht="14.25" customHeight="1">
      <c r="K379" s="89"/>
      <c r="Q379" s="89"/>
      <c r="T379" s="89"/>
    </row>
    <row r="380" ht="14.25" customHeight="1">
      <c r="K380" s="89"/>
      <c r="Q380" s="89"/>
      <c r="T380" s="89"/>
    </row>
    <row r="381" ht="14.25" customHeight="1">
      <c r="K381" s="89"/>
      <c r="Q381" s="89"/>
      <c r="T381" s="89"/>
    </row>
    <row r="382" ht="14.25" customHeight="1">
      <c r="K382" s="89"/>
      <c r="Q382" s="89"/>
      <c r="T382" s="89"/>
    </row>
    <row r="383" ht="14.25" customHeight="1">
      <c r="K383" s="89"/>
      <c r="Q383" s="89"/>
      <c r="T383" s="89"/>
    </row>
    <row r="384" ht="14.25" customHeight="1">
      <c r="K384" s="89"/>
      <c r="Q384" s="89"/>
      <c r="T384" s="89"/>
    </row>
    <row r="385" ht="14.25" customHeight="1">
      <c r="K385" s="89"/>
      <c r="Q385" s="89"/>
      <c r="T385" s="89"/>
    </row>
    <row r="386" ht="14.25" customHeight="1">
      <c r="K386" s="89"/>
      <c r="Q386" s="89"/>
      <c r="T386" s="89"/>
    </row>
    <row r="387" ht="14.25" customHeight="1">
      <c r="K387" s="89"/>
      <c r="Q387" s="89"/>
      <c r="T387" s="89"/>
    </row>
    <row r="388" ht="14.25" customHeight="1">
      <c r="K388" s="89"/>
      <c r="Q388" s="89"/>
      <c r="T388" s="89"/>
    </row>
    <row r="389" ht="14.25" customHeight="1">
      <c r="K389" s="89"/>
      <c r="Q389" s="89"/>
      <c r="T389" s="89"/>
    </row>
    <row r="390" ht="14.25" customHeight="1">
      <c r="K390" s="89"/>
      <c r="Q390" s="89"/>
      <c r="T390" s="89"/>
    </row>
    <row r="391" ht="14.25" customHeight="1">
      <c r="K391" s="89"/>
      <c r="Q391" s="89"/>
      <c r="T391" s="89"/>
    </row>
    <row r="392" ht="14.25" customHeight="1">
      <c r="K392" s="89"/>
      <c r="Q392" s="89"/>
      <c r="T392" s="89"/>
    </row>
    <row r="393" ht="14.25" customHeight="1">
      <c r="K393" s="89"/>
      <c r="Q393" s="89"/>
      <c r="T393" s="89"/>
    </row>
    <row r="394" ht="14.25" customHeight="1">
      <c r="K394" s="89"/>
      <c r="Q394" s="89"/>
      <c r="T394" s="89"/>
    </row>
    <row r="395" ht="14.25" customHeight="1">
      <c r="K395" s="89"/>
      <c r="Q395" s="89"/>
      <c r="T395" s="89"/>
    </row>
    <row r="396" ht="14.25" customHeight="1">
      <c r="K396" s="89"/>
      <c r="Q396" s="89"/>
      <c r="T396" s="89"/>
    </row>
    <row r="397" ht="14.25" customHeight="1">
      <c r="K397" s="89"/>
      <c r="Q397" s="89"/>
      <c r="T397" s="89"/>
    </row>
    <row r="398" ht="14.25" customHeight="1">
      <c r="K398" s="89"/>
      <c r="Q398" s="89"/>
      <c r="T398" s="89"/>
    </row>
    <row r="399" ht="14.25" customHeight="1">
      <c r="K399" s="89"/>
      <c r="Q399" s="89"/>
      <c r="T399" s="89"/>
    </row>
    <row r="400" ht="14.25" customHeight="1">
      <c r="K400" s="89"/>
      <c r="Q400" s="89"/>
      <c r="T400" s="89"/>
    </row>
    <row r="401" ht="14.25" customHeight="1">
      <c r="K401" s="89"/>
      <c r="Q401" s="89"/>
      <c r="T401" s="89"/>
    </row>
    <row r="402" ht="14.25" customHeight="1">
      <c r="K402" s="89"/>
      <c r="Q402" s="89"/>
      <c r="T402" s="89"/>
    </row>
    <row r="403" ht="14.25" customHeight="1">
      <c r="K403" s="89"/>
      <c r="Q403" s="89"/>
      <c r="T403" s="89"/>
    </row>
    <row r="404" ht="14.25" customHeight="1">
      <c r="K404" s="89"/>
      <c r="Q404" s="89"/>
      <c r="T404" s="89"/>
    </row>
    <row r="405" ht="14.25" customHeight="1">
      <c r="K405" s="89"/>
      <c r="Q405" s="89"/>
      <c r="T405" s="89"/>
    </row>
    <row r="406" ht="14.25" customHeight="1">
      <c r="K406" s="89"/>
      <c r="Q406" s="89"/>
      <c r="T406" s="89"/>
    </row>
    <row r="407" ht="14.25" customHeight="1">
      <c r="K407" s="89"/>
      <c r="Q407" s="89"/>
      <c r="T407" s="89"/>
    </row>
    <row r="408" ht="14.25" customHeight="1">
      <c r="K408" s="89"/>
      <c r="Q408" s="89"/>
      <c r="T408" s="89"/>
    </row>
    <row r="409" ht="14.25" customHeight="1">
      <c r="K409" s="89"/>
      <c r="Q409" s="89"/>
      <c r="T409" s="89"/>
    </row>
    <row r="410" ht="14.25" customHeight="1">
      <c r="K410" s="89"/>
      <c r="Q410" s="89"/>
      <c r="T410" s="89"/>
    </row>
    <row r="411" ht="14.25" customHeight="1">
      <c r="K411" s="89"/>
      <c r="Q411" s="89"/>
      <c r="T411" s="89"/>
    </row>
    <row r="412" ht="14.25" customHeight="1">
      <c r="K412" s="89"/>
      <c r="Q412" s="89"/>
      <c r="T412" s="89"/>
    </row>
    <row r="413" ht="14.25" customHeight="1">
      <c r="K413" s="89"/>
      <c r="Q413" s="89"/>
      <c r="T413" s="89"/>
    </row>
    <row r="414" ht="14.25" customHeight="1">
      <c r="K414" s="89"/>
      <c r="Q414" s="89"/>
      <c r="T414" s="89"/>
    </row>
    <row r="415" ht="14.25" customHeight="1">
      <c r="K415" s="89"/>
      <c r="Q415" s="89"/>
      <c r="T415" s="89"/>
    </row>
    <row r="416" ht="14.25" customHeight="1">
      <c r="K416" s="89"/>
      <c r="Q416" s="89"/>
      <c r="T416" s="89"/>
    </row>
    <row r="417" ht="14.25" customHeight="1">
      <c r="K417" s="89"/>
      <c r="Q417" s="89"/>
      <c r="T417" s="89"/>
    </row>
    <row r="418" ht="14.25" customHeight="1">
      <c r="K418" s="89"/>
      <c r="Q418" s="89"/>
      <c r="T418" s="89"/>
    </row>
    <row r="419" ht="14.25" customHeight="1">
      <c r="K419" s="89"/>
      <c r="Q419" s="89"/>
      <c r="T419" s="89"/>
    </row>
    <row r="420" ht="14.25" customHeight="1">
      <c r="K420" s="89"/>
      <c r="Q420" s="89"/>
      <c r="T420" s="89"/>
    </row>
    <row r="421" ht="14.25" customHeight="1">
      <c r="K421" s="89"/>
      <c r="Q421" s="89"/>
      <c r="T421" s="89"/>
    </row>
    <row r="422" ht="14.25" customHeight="1">
      <c r="K422" s="89"/>
      <c r="Q422" s="89"/>
      <c r="T422" s="89"/>
    </row>
    <row r="423" ht="14.25" customHeight="1">
      <c r="K423" s="89"/>
      <c r="Q423" s="89"/>
      <c r="T423" s="89"/>
    </row>
    <row r="424" ht="14.25" customHeight="1">
      <c r="K424" s="89"/>
      <c r="Q424" s="89"/>
      <c r="T424" s="89"/>
    </row>
    <row r="425" ht="14.25" customHeight="1">
      <c r="K425" s="89"/>
      <c r="Q425" s="89"/>
      <c r="T425" s="89"/>
    </row>
    <row r="426" ht="14.25" customHeight="1">
      <c r="K426" s="89"/>
      <c r="Q426" s="89"/>
      <c r="T426" s="89"/>
    </row>
    <row r="427" ht="14.25" customHeight="1">
      <c r="K427" s="89"/>
      <c r="Q427" s="89"/>
      <c r="T427" s="89"/>
    </row>
    <row r="428" ht="14.25" customHeight="1">
      <c r="K428" s="89"/>
      <c r="Q428" s="89"/>
      <c r="T428" s="89"/>
    </row>
    <row r="429" ht="14.25" customHeight="1">
      <c r="K429" s="89"/>
      <c r="Q429" s="89"/>
      <c r="T429" s="89"/>
    </row>
    <row r="430" ht="14.25" customHeight="1">
      <c r="K430" s="89"/>
      <c r="Q430" s="89"/>
      <c r="T430" s="89"/>
    </row>
    <row r="431" ht="14.25" customHeight="1">
      <c r="K431" s="89"/>
      <c r="Q431" s="89"/>
      <c r="T431" s="89"/>
    </row>
    <row r="432" ht="14.25" customHeight="1">
      <c r="K432" s="89"/>
      <c r="Q432" s="89"/>
      <c r="T432" s="89"/>
    </row>
    <row r="433" ht="14.25" customHeight="1">
      <c r="K433" s="89"/>
      <c r="Q433" s="89"/>
      <c r="T433" s="89"/>
    </row>
    <row r="434" ht="14.25" customHeight="1">
      <c r="K434" s="89"/>
      <c r="Q434" s="89"/>
      <c r="T434" s="89"/>
    </row>
    <row r="435" ht="14.25" customHeight="1">
      <c r="K435" s="89"/>
      <c r="Q435" s="89"/>
      <c r="T435" s="89"/>
    </row>
    <row r="436" ht="14.25" customHeight="1">
      <c r="K436" s="89"/>
      <c r="Q436" s="89"/>
      <c r="T436" s="89"/>
    </row>
    <row r="437" ht="14.25" customHeight="1">
      <c r="K437" s="89"/>
      <c r="Q437" s="89"/>
      <c r="T437" s="89"/>
    </row>
    <row r="438" ht="14.25" customHeight="1">
      <c r="K438" s="89"/>
      <c r="Q438" s="89"/>
      <c r="T438" s="89"/>
    </row>
    <row r="439" ht="14.25" customHeight="1">
      <c r="K439" s="89"/>
      <c r="Q439" s="89"/>
      <c r="T439" s="89"/>
    </row>
    <row r="440" ht="14.25" customHeight="1">
      <c r="K440" s="89"/>
      <c r="Q440" s="89"/>
      <c r="T440" s="89"/>
    </row>
    <row r="441" ht="14.25" customHeight="1">
      <c r="K441" s="89"/>
      <c r="Q441" s="89"/>
      <c r="T441" s="89"/>
    </row>
    <row r="442" ht="14.25" customHeight="1">
      <c r="K442" s="89"/>
      <c r="Q442" s="89"/>
      <c r="T442" s="89"/>
    </row>
    <row r="443" ht="14.25" customHeight="1">
      <c r="K443" s="89"/>
      <c r="Q443" s="89"/>
      <c r="T443" s="89"/>
    </row>
    <row r="444" ht="14.25" customHeight="1">
      <c r="K444" s="89"/>
      <c r="Q444" s="89"/>
      <c r="T444" s="89"/>
    </row>
    <row r="445" ht="14.25" customHeight="1">
      <c r="K445" s="89"/>
      <c r="Q445" s="89"/>
      <c r="T445" s="89"/>
    </row>
    <row r="446" ht="14.25" customHeight="1">
      <c r="K446" s="89"/>
      <c r="Q446" s="89"/>
      <c r="T446" s="89"/>
    </row>
    <row r="447" ht="14.25" customHeight="1">
      <c r="K447" s="89"/>
      <c r="Q447" s="89"/>
      <c r="T447" s="89"/>
    </row>
    <row r="448" ht="14.25" customHeight="1">
      <c r="K448" s="89"/>
      <c r="Q448" s="89"/>
      <c r="T448" s="89"/>
    </row>
    <row r="449" ht="14.25" customHeight="1">
      <c r="K449" s="89"/>
      <c r="Q449" s="89"/>
      <c r="T449" s="89"/>
    </row>
    <row r="450" ht="14.25" customHeight="1">
      <c r="K450" s="89"/>
      <c r="Q450" s="89"/>
      <c r="T450" s="89"/>
    </row>
    <row r="451" ht="14.25" customHeight="1">
      <c r="K451" s="89"/>
      <c r="Q451" s="89"/>
      <c r="T451" s="89"/>
    </row>
    <row r="452" ht="14.25" customHeight="1">
      <c r="K452" s="89"/>
      <c r="Q452" s="89"/>
      <c r="T452" s="89"/>
    </row>
    <row r="453" ht="14.25" customHeight="1">
      <c r="K453" s="89"/>
      <c r="Q453" s="89"/>
      <c r="T453" s="89"/>
    </row>
    <row r="454" ht="14.25" customHeight="1">
      <c r="K454" s="89"/>
      <c r="Q454" s="89"/>
      <c r="T454" s="89"/>
    </row>
    <row r="455" ht="14.25" customHeight="1">
      <c r="K455" s="89"/>
      <c r="Q455" s="89"/>
      <c r="T455" s="89"/>
    </row>
    <row r="456" ht="14.25" customHeight="1">
      <c r="K456" s="89"/>
      <c r="Q456" s="89"/>
      <c r="T456" s="89"/>
    </row>
    <row r="457" ht="14.25" customHeight="1">
      <c r="K457" s="89"/>
      <c r="Q457" s="89"/>
      <c r="T457" s="89"/>
    </row>
    <row r="458" ht="14.25" customHeight="1">
      <c r="K458" s="89"/>
      <c r="Q458" s="89"/>
      <c r="T458" s="89"/>
    </row>
    <row r="459" ht="14.25" customHeight="1">
      <c r="K459" s="89"/>
      <c r="Q459" s="89"/>
      <c r="T459" s="89"/>
    </row>
    <row r="460" ht="14.25" customHeight="1">
      <c r="K460" s="89"/>
      <c r="Q460" s="89"/>
      <c r="T460" s="89"/>
    </row>
    <row r="461" ht="14.25" customHeight="1">
      <c r="K461" s="89"/>
      <c r="Q461" s="89"/>
      <c r="T461" s="89"/>
    </row>
    <row r="462" ht="14.25" customHeight="1">
      <c r="K462" s="89"/>
      <c r="Q462" s="89"/>
      <c r="T462" s="89"/>
    </row>
    <row r="463" ht="14.25" customHeight="1">
      <c r="K463" s="89"/>
      <c r="Q463" s="89"/>
      <c r="T463" s="89"/>
    </row>
    <row r="464" ht="14.25" customHeight="1">
      <c r="K464" s="89"/>
      <c r="Q464" s="89"/>
      <c r="T464" s="89"/>
    </row>
    <row r="465" ht="14.25" customHeight="1">
      <c r="K465" s="89"/>
      <c r="Q465" s="89"/>
      <c r="T465" s="89"/>
    </row>
    <row r="466" ht="14.25" customHeight="1">
      <c r="K466" s="89"/>
      <c r="Q466" s="89"/>
      <c r="T466" s="89"/>
    </row>
    <row r="467" ht="14.25" customHeight="1">
      <c r="K467" s="89"/>
      <c r="Q467" s="89"/>
      <c r="T467" s="89"/>
    </row>
    <row r="468" ht="14.25" customHeight="1">
      <c r="K468" s="89"/>
      <c r="Q468" s="89"/>
      <c r="T468" s="89"/>
    </row>
    <row r="469" ht="14.25" customHeight="1">
      <c r="K469" s="89"/>
      <c r="Q469" s="89"/>
      <c r="T469" s="89"/>
    </row>
    <row r="470" ht="14.25" customHeight="1">
      <c r="K470" s="89"/>
      <c r="Q470" s="89"/>
      <c r="T470" s="89"/>
    </row>
    <row r="471" ht="14.25" customHeight="1">
      <c r="K471" s="89"/>
      <c r="Q471" s="89"/>
      <c r="T471" s="89"/>
    </row>
    <row r="472" ht="14.25" customHeight="1">
      <c r="K472" s="89"/>
      <c r="Q472" s="89"/>
      <c r="T472" s="89"/>
    </row>
    <row r="473" ht="14.25" customHeight="1">
      <c r="K473" s="89"/>
      <c r="Q473" s="89"/>
      <c r="T473" s="89"/>
    </row>
    <row r="474" ht="14.25" customHeight="1">
      <c r="K474" s="89"/>
      <c r="Q474" s="89"/>
      <c r="T474" s="89"/>
    </row>
    <row r="475" ht="14.25" customHeight="1">
      <c r="K475" s="89"/>
      <c r="Q475" s="89"/>
      <c r="T475" s="89"/>
    </row>
    <row r="476" ht="14.25" customHeight="1">
      <c r="K476" s="89"/>
      <c r="Q476" s="89"/>
      <c r="T476" s="89"/>
    </row>
    <row r="477" ht="14.25" customHeight="1">
      <c r="K477" s="89"/>
      <c r="Q477" s="89"/>
      <c r="T477" s="89"/>
    </row>
    <row r="478" ht="14.25" customHeight="1">
      <c r="K478" s="89"/>
      <c r="Q478" s="89"/>
      <c r="T478" s="89"/>
    </row>
    <row r="479" ht="14.25" customHeight="1">
      <c r="K479" s="89"/>
      <c r="Q479" s="89"/>
      <c r="T479" s="89"/>
    </row>
    <row r="480" ht="14.25" customHeight="1">
      <c r="K480" s="89"/>
      <c r="Q480" s="89"/>
      <c r="T480" s="89"/>
    </row>
    <row r="481" ht="14.25" customHeight="1">
      <c r="K481" s="89"/>
      <c r="Q481" s="89"/>
      <c r="T481" s="89"/>
    </row>
    <row r="482" ht="14.25" customHeight="1">
      <c r="K482" s="89"/>
      <c r="Q482" s="89"/>
      <c r="T482" s="89"/>
    </row>
    <row r="483" ht="14.25" customHeight="1">
      <c r="K483" s="89"/>
      <c r="Q483" s="89"/>
      <c r="T483" s="89"/>
    </row>
    <row r="484" ht="14.25" customHeight="1">
      <c r="K484" s="89"/>
      <c r="Q484" s="89"/>
      <c r="T484" s="89"/>
    </row>
    <row r="485" ht="14.25" customHeight="1">
      <c r="K485" s="89"/>
      <c r="Q485" s="89"/>
      <c r="T485" s="89"/>
    </row>
    <row r="486" ht="14.25" customHeight="1">
      <c r="K486" s="89"/>
      <c r="Q486" s="89"/>
      <c r="T486" s="89"/>
    </row>
    <row r="487" ht="14.25" customHeight="1">
      <c r="K487" s="89"/>
      <c r="Q487" s="89"/>
      <c r="T487" s="89"/>
    </row>
    <row r="488" ht="14.25" customHeight="1">
      <c r="K488" s="89"/>
      <c r="Q488" s="89"/>
      <c r="T488" s="89"/>
    </row>
    <row r="489" ht="14.25" customHeight="1">
      <c r="K489" s="89"/>
      <c r="Q489" s="89"/>
      <c r="T489" s="89"/>
    </row>
    <row r="490" ht="14.25" customHeight="1">
      <c r="K490" s="89"/>
      <c r="Q490" s="89"/>
      <c r="T490" s="89"/>
    </row>
    <row r="491" ht="14.25" customHeight="1">
      <c r="K491" s="89"/>
      <c r="Q491" s="89"/>
      <c r="T491" s="89"/>
    </row>
    <row r="492" ht="14.25" customHeight="1">
      <c r="K492" s="89"/>
      <c r="Q492" s="89"/>
      <c r="T492" s="89"/>
    </row>
    <row r="493" ht="14.25" customHeight="1">
      <c r="K493" s="89"/>
      <c r="Q493" s="89"/>
      <c r="T493" s="89"/>
    </row>
    <row r="494" ht="14.25" customHeight="1">
      <c r="K494" s="89"/>
      <c r="Q494" s="89"/>
      <c r="T494" s="89"/>
    </row>
    <row r="495" ht="14.25" customHeight="1">
      <c r="K495" s="89"/>
      <c r="Q495" s="89"/>
      <c r="T495" s="89"/>
    </row>
    <row r="496" ht="14.25" customHeight="1">
      <c r="K496" s="89"/>
      <c r="Q496" s="89"/>
      <c r="T496" s="89"/>
    </row>
    <row r="497" ht="14.25" customHeight="1">
      <c r="K497" s="89"/>
      <c r="Q497" s="89"/>
      <c r="T497" s="89"/>
    </row>
    <row r="498" ht="14.25" customHeight="1">
      <c r="K498" s="89"/>
      <c r="Q498" s="89"/>
      <c r="T498" s="89"/>
    </row>
    <row r="499" ht="14.25" customHeight="1">
      <c r="K499" s="89"/>
      <c r="Q499" s="89"/>
      <c r="T499" s="89"/>
    </row>
    <row r="500" ht="14.25" customHeight="1">
      <c r="K500" s="89"/>
      <c r="Q500" s="89"/>
      <c r="T500" s="89"/>
    </row>
    <row r="501" ht="14.25" customHeight="1">
      <c r="K501" s="89"/>
      <c r="Q501" s="89"/>
      <c r="T501" s="89"/>
    </row>
    <row r="502" ht="14.25" customHeight="1">
      <c r="K502" s="89"/>
      <c r="Q502" s="89"/>
      <c r="T502" s="89"/>
    </row>
    <row r="503" ht="14.25" customHeight="1">
      <c r="K503" s="89"/>
      <c r="Q503" s="89"/>
      <c r="T503" s="89"/>
    </row>
    <row r="504" ht="14.25" customHeight="1">
      <c r="K504" s="89"/>
      <c r="Q504" s="89"/>
      <c r="T504" s="89"/>
    </row>
    <row r="505" ht="14.25" customHeight="1">
      <c r="K505" s="89"/>
      <c r="Q505" s="89"/>
      <c r="T505" s="89"/>
    </row>
    <row r="506" ht="14.25" customHeight="1">
      <c r="K506" s="89"/>
      <c r="Q506" s="89"/>
      <c r="T506" s="89"/>
    </row>
    <row r="507" ht="14.25" customHeight="1">
      <c r="K507" s="89"/>
      <c r="Q507" s="89"/>
      <c r="T507" s="89"/>
    </row>
    <row r="508" ht="14.25" customHeight="1">
      <c r="K508" s="89"/>
      <c r="Q508" s="89"/>
      <c r="T508" s="89"/>
    </row>
    <row r="509" ht="14.25" customHeight="1">
      <c r="K509" s="89"/>
      <c r="Q509" s="89"/>
      <c r="T509" s="89"/>
    </row>
    <row r="510" ht="14.25" customHeight="1">
      <c r="K510" s="89"/>
      <c r="Q510" s="89"/>
      <c r="T510" s="89"/>
    </row>
    <row r="511" ht="14.25" customHeight="1">
      <c r="K511" s="89"/>
      <c r="Q511" s="89"/>
      <c r="T511" s="89"/>
    </row>
    <row r="512" ht="14.25" customHeight="1">
      <c r="K512" s="89"/>
      <c r="Q512" s="89"/>
      <c r="T512" s="89"/>
    </row>
    <row r="513" ht="14.25" customHeight="1">
      <c r="K513" s="89"/>
      <c r="Q513" s="89"/>
      <c r="T513" s="89"/>
    </row>
    <row r="514" ht="14.25" customHeight="1">
      <c r="K514" s="89"/>
      <c r="Q514" s="89"/>
      <c r="T514" s="89"/>
    </row>
    <row r="515" ht="14.25" customHeight="1">
      <c r="K515" s="89"/>
      <c r="Q515" s="89"/>
      <c r="T515" s="89"/>
    </row>
    <row r="516" ht="14.25" customHeight="1">
      <c r="K516" s="89"/>
      <c r="Q516" s="89"/>
      <c r="T516" s="89"/>
    </row>
    <row r="517" ht="14.25" customHeight="1">
      <c r="K517" s="89"/>
      <c r="Q517" s="89"/>
      <c r="T517" s="89"/>
    </row>
    <row r="518" ht="14.25" customHeight="1">
      <c r="K518" s="89"/>
      <c r="Q518" s="89"/>
      <c r="T518" s="89"/>
    </row>
    <row r="519" ht="14.25" customHeight="1">
      <c r="K519" s="89"/>
      <c r="Q519" s="89"/>
      <c r="T519" s="89"/>
    </row>
    <row r="520" ht="14.25" customHeight="1">
      <c r="K520" s="89"/>
      <c r="Q520" s="89"/>
      <c r="T520" s="89"/>
    </row>
    <row r="521" ht="14.25" customHeight="1">
      <c r="K521" s="89"/>
      <c r="Q521" s="89"/>
      <c r="T521" s="89"/>
    </row>
    <row r="522" ht="14.25" customHeight="1">
      <c r="K522" s="89"/>
      <c r="Q522" s="89"/>
      <c r="T522" s="89"/>
    </row>
    <row r="523" ht="14.25" customHeight="1">
      <c r="K523" s="89"/>
      <c r="Q523" s="89"/>
      <c r="T523" s="89"/>
    </row>
    <row r="524" ht="14.25" customHeight="1">
      <c r="K524" s="89"/>
      <c r="Q524" s="89"/>
      <c r="T524" s="89"/>
    </row>
    <row r="525" ht="14.25" customHeight="1">
      <c r="K525" s="89"/>
      <c r="Q525" s="89"/>
      <c r="T525" s="89"/>
    </row>
    <row r="526" ht="14.25" customHeight="1">
      <c r="K526" s="89"/>
      <c r="Q526" s="89"/>
      <c r="T526" s="89"/>
    </row>
    <row r="527" ht="14.25" customHeight="1">
      <c r="K527" s="89"/>
      <c r="Q527" s="89"/>
      <c r="T527" s="89"/>
    </row>
    <row r="528" ht="14.25" customHeight="1">
      <c r="K528" s="89"/>
      <c r="Q528" s="89"/>
      <c r="T528" s="89"/>
    </row>
    <row r="529" ht="14.25" customHeight="1">
      <c r="K529" s="89"/>
      <c r="Q529" s="89"/>
      <c r="T529" s="89"/>
    </row>
    <row r="530" ht="14.25" customHeight="1">
      <c r="K530" s="89"/>
      <c r="Q530" s="89"/>
      <c r="T530" s="89"/>
    </row>
    <row r="531" ht="14.25" customHeight="1">
      <c r="K531" s="89"/>
      <c r="Q531" s="89"/>
      <c r="T531" s="89"/>
    </row>
    <row r="532" ht="14.25" customHeight="1">
      <c r="K532" s="89"/>
      <c r="Q532" s="89"/>
      <c r="T532" s="89"/>
    </row>
    <row r="533" ht="14.25" customHeight="1">
      <c r="K533" s="89"/>
      <c r="Q533" s="89"/>
      <c r="T533" s="89"/>
    </row>
    <row r="534" ht="14.25" customHeight="1">
      <c r="K534" s="89"/>
      <c r="Q534" s="89"/>
      <c r="T534" s="89"/>
    </row>
    <row r="535" ht="14.25" customHeight="1">
      <c r="K535" s="89"/>
      <c r="Q535" s="89"/>
      <c r="T535" s="89"/>
    </row>
    <row r="536" ht="14.25" customHeight="1">
      <c r="K536" s="89"/>
      <c r="Q536" s="89"/>
      <c r="T536" s="89"/>
    </row>
    <row r="537" ht="14.25" customHeight="1">
      <c r="K537" s="89"/>
      <c r="Q537" s="89"/>
      <c r="T537" s="89"/>
    </row>
    <row r="538" ht="14.25" customHeight="1">
      <c r="K538" s="89"/>
      <c r="Q538" s="89"/>
      <c r="T538" s="89"/>
    </row>
    <row r="539" ht="14.25" customHeight="1">
      <c r="K539" s="89"/>
      <c r="Q539" s="89"/>
      <c r="T539" s="89"/>
    </row>
    <row r="540" ht="14.25" customHeight="1">
      <c r="K540" s="89"/>
      <c r="Q540" s="89"/>
      <c r="T540" s="89"/>
    </row>
    <row r="541" ht="14.25" customHeight="1">
      <c r="K541" s="89"/>
      <c r="Q541" s="89"/>
      <c r="T541" s="89"/>
    </row>
    <row r="542" ht="14.25" customHeight="1">
      <c r="K542" s="89"/>
      <c r="Q542" s="89"/>
      <c r="T542" s="89"/>
    </row>
    <row r="543" ht="14.25" customHeight="1">
      <c r="K543" s="89"/>
      <c r="Q543" s="89"/>
      <c r="T543" s="89"/>
    </row>
    <row r="544" ht="14.25" customHeight="1">
      <c r="K544" s="89"/>
      <c r="Q544" s="89"/>
      <c r="T544" s="89"/>
    </row>
    <row r="545" ht="14.25" customHeight="1">
      <c r="K545" s="89"/>
      <c r="Q545" s="89"/>
      <c r="T545" s="89"/>
    </row>
    <row r="546" ht="14.25" customHeight="1">
      <c r="K546" s="89"/>
      <c r="Q546" s="89"/>
      <c r="T546" s="89"/>
    </row>
    <row r="547" ht="14.25" customHeight="1">
      <c r="K547" s="89"/>
      <c r="Q547" s="89"/>
      <c r="T547" s="89"/>
    </row>
    <row r="548" ht="14.25" customHeight="1">
      <c r="K548" s="89"/>
      <c r="Q548" s="89"/>
      <c r="T548" s="89"/>
    </row>
    <row r="549" ht="14.25" customHeight="1">
      <c r="K549" s="89"/>
      <c r="Q549" s="89"/>
      <c r="T549" s="89"/>
    </row>
    <row r="550" ht="14.25" customHeight="1">
      <c r="K550" s="89"/>
      <c r="Q550" s="89"/>
      <c r="T550" s="89"/>
    </row>
    <row r="551" ht="14.25" customHeight="1">
      <c r="K551" s="89"/>
      <c r="Q551" s="89"/>
      <c r="T551" s="89"/>
    </row>
    <row r="552" ht="14.25" customHeight="1">
      <c r="K552" s="89"/>
      <c r="Q552" s="89"/>
      <c r="T552" s="89"/>
    </row>
    <row r="553" ht="14.25" customHeight="1">
      <c r="K553" s="89"/>
      <c r="Q553" s="89"/>
      <c r="T553" s="89"/>
    </row>
    <row r="554" ht="14.25" customHeight="1">
      <c r="K554" s="89"/>
      <c r="Q554" s="89"/>
      <c r="T554" s="89"/>
    </row>
    <row r="555" ht="14.25" customHeight="1">
      <c r="K555" s="89"/>
      <c r="Q555" s="89"/>
      <c r="T555" s="89"/>
    </row>
    <row r="556" ht="14.25" customHeight="1">
      <c r="K556" s="89"/>
      <c r="Q556" s="89"/>
      <c r="T556" s="89"/>
    </row>
    <row r="557" ht="14.25" customHeight="1">
      <c r="K557" s="89"/>
      <c r="Q557" s="89"/>
      <c r="T557" s="89"/>
    </row>
    <row r="558" ht="14.25" customHeight="1">
      <c r="K558" s="89"/>
      <c r="Q558" s="89"/>
      <c r="T558" s="89"/>
    </row>
    <row r="559" ht="14.25" customHeight="1">
      <c r="K559" s="89"/>
      <c r="Q559" s="89"/>
      <c r="T559" s="89"/>
    </row>
    <row r="560" ht="14.25" customHeight="1">
      <c r="K560" s="89"/>
      <c r="Q560" s="89"/>
      <c r="T560" s="89"/>
    </row>
    <row r="561" ht="14.25" customHeight="1">
      <c r="K561" s="89"/>
      <c r="Q561" s="89"/>
      <c r="T561" s="89"/>
    </row>
    <row r="562" ht="14.25" customHeight="1">
      <c r="K562" s="89"/>
      <c r="Q562" s="89"/>
      <c r="T562" s="89"/>
    </row>
    <row r="563" ht="14.25" customHeight="1">
      <c r="K563" s="89"/>
      <c r="Q563" s="89"/>
      <c r="T563" s="89"/>
    </row>
    <row r="564" ht="14.25" customHeight="1">
      <c r="K564" s="89"/>
      <c r="Q564" s="89"/>
      <c r="T564" s="89"/>
    </row>
    <row r="565" ht="14.25" customHeight="1">
      <c r="K565" s="89"/>
      <c r="Q565" s="89"/>
      <c r="T565" s="89"/>
    </row>
    <row r="566" ht="14.25" customHeight="1">
      <c r="K566" s="89"/>
      <c r="Q566" s="89"/>
      <c r="T566" s="89"/>
    </row>
    <row r="567" ht="14.25" customHeight="1">
      <c r="K567" s="89"/>
      <c r="Q567" s="89"/>
      <c r="T567" s="89"/>
    </row>
    <row r="568" ht="14.25" customHeight="1">
      <c r="K568" s="89"/>
      <c r="Q568" s="89"/>
      <c r="T568" s="89"/>
    </row>
    <row r="569" ht="14.25" customHeight="1">
      <c r="K569" s="89"/>
      <c r="Q569" s="89"/>
      <c r="T569" s="89"/>
    </row>
    <row r="570" ht="14.25" customHeight="1">
      <c r="K570" s="89"/>
      <c r="Q570" s="89"/>
      <c r="T570" s="89"/>
    </row>
    <row r="571" ht="14.25" customHeight="1">
      <c r="K571" s="89"/>
      <c r="Q571" s="89"/>
      <c r="T571" s="89"/>
    </row>
    <row r="572" ht="14.25" customHeight="1">
      <c r="K572" s="89"/>
      <c r="Q572" s="89"/>
      <c r="T572" s="89"/>
    </row>
    <row r="573" ht="14.25" customHeight="1">
      <c r="K573" s="89"/>
      <c r="Q573" s="89"/>
      <c r="T573" s="89"/>
    </row>
    <row r="574" ht="14.25" customHeight="1">
      <c r="K574" s="89"/>
      <c r="Q574" s="89"/>
      <c r="T574" s="89"/>
    </row>
    <row r="575" ht="14.25" customHeight="1">
      <c r="K575" s="89"/>
      <c r="Q575" s="89"/>
      <c r="T575" s="89"/>
    </row>
    <row r="576" ht="14.25" customHeight="1">
      <c r="K576" s="89"/>
      <c r="Q576" s="89"/>
      <c r="T576" s="89"/>
    </row>
    <row r="577" ht="14.25" customHeight="1">
      <c r="K577" s="89"/>
      <c r="Q577" s="89"/>
      <c r="T577" s="89"/>
    </row>
    <row r="578" ht="14.25" customHeight="1">
      <c r="K578" s="89"/>
      <c r="Q578" s="89"/>
      <c r="T578" s="89"/>
    </row>
    <row r="579" ht="14.25" customHeight="1">
      <c r="K579" s="89"/>
      <c r="Q579" s="89"/>
      <c r="T579" s="89"/>
    </row>
    <row r="580" ht="14.25" customHeight="1">
      <c r="K580" s="89"/>
      <c r="Q580" s="89"/>
      <c r="T580" s="89"/>
    </row>
    <row r="581" ht="14.25" customHeight="1">
      <c r="K581" s="89"/>
      <c r="Q581" s="89"/>
      <c r="T581" s="89"/>
    </row>
    <row r="582" ht="14.25" customHeight="1">
      <c r="K582" s="89"/>
      <c r="Q582" s="89"/>
      <c r="T582" s="89"/>
    </row>
    <row r="583" ht="14.25" customHeight="1">
      <c r="K583" s="89"/>
      <c r="Q583" s="89"/>
      <c r="T583" s="89"/>
    </row>
    <row r="584" ht="14.25" customHeight="1">
      <c r="K584" s="89"/>
      <c r="Q584" s="89"/>
      <c r="T584" s="89"/>
    </row>
    <row r="585" ht="14.25" customHeight="1">
      <c r="K585" s="89"/>
      <c r="Q585" s="89"/>
      <c r="T585" s="89"/>
    </row>
    <row r="586" ht="14.25" customHeight="1">
      <c r="K586" s="89"/>
      <c r="Q586" s="89"/>
      <c r="T586" s="89"/>
    </row>
    <row r="587" ht="14.25" customHeight="1">
      <c r="K587" s="89"/>
      <c r="Q587" s="89"/>
      <c r="T587" s="89"/>
    </row>
    <row r="588" ht="14.25" customHeight="1">
      <c r="K588" s="89"/>
      <c r="Q588" s="89"/>
      <c r="T588" s="89"/>
    </row>
    <row r="589" ht="14.25" customHeight="1">
      <c r="K589" s="89"/>
      <c r="Q589" s="89"/>
      <c r="T589" s="89"/>
    </row>
    <row r="590" ht="14.25" customHeight="1">
      <c r="K590" s="89"/>
      <c r="Q590" s="89"/>
      <c r="T590" s="89"/>
    </row>
    <row r="591" ht="14.25" customHeight="1">
      <c r="K591" s="89"/>
      <c r="Q591" s="89"/>
      <c r="T591" s="89"/>
    </row>
    <row r="592" ht="14.25" customHeight="1">
      <c r="K592" s="89"/>
      <c r="Q592" s="89"/>
      <c r="T592" s="89"/>
    </row>
    <row r="593" ht="14.25" customHeight="1">
      <c r="K593" s="89"/>
      <c r="Q593" s="89"/>
      <c r="T593" s="89"/>
    </row>
    <row r="594" ht="14.25" customHeight="1">
      <c r="K594" s="89"/>
      <c r="Q594" s="89"/>
      <c r="T594" s="89"/>
    </row>
    <row r="595" ht="14.25" customHeight="1">
      <c r="K595" s="89"/>
      <c r="Q595" s="89"/>
      <c r="T595" s="89"/>
    </row>
    <row r="596" ht="14.25" customHeight="1">
      <c r="K596" s="89"/>
      <c r="Q596" s="89"/>
      <c r="T596" s="89"/>
    </row>
    <row r="597" ht="14.25" customHeight="1">
      <c r="K597" s="89"/>
      <c r="Q597" s="89"/>
      <c r="T597" s="89"/>
    </row>
    <row r="598" ht="14.25" customHeight="1">
      <c r="K598" s="89"/>
      <c r="Q598" s="89"/>
      <c r="T598" s="89"/>
    </row>
    <row r="599" ht="14.25" customHeight="1">
      <c r="K599" s="89"/>
      <c r="Q599" s="89"/>
      <c r="T599" s="89"/>
    </row>
    <row r="600" ht="14.25" customHeight="1">
      <c r="K600" s="89"/>
      <c r="Q600" s="89"/>
      <c r="T600" s="89"/>
    </row>
    <row r="601" ht="14.25" customHeight="1">
      <c r="K601" s="89"/>
      <c r="Q601" s="89"/>
      <c r="T601" s="89"/>
    </row>
    <row r="602" ht="14.25" customHeight="1">
      <c r="K602" s="89"/>
      <c r="Q602" s="89"/>
      <c r="T602" s="89"/>
    </row>
    <row r="603" ht="14.25" customHeight="1">
      <c r="K603" s="89"/>
      <c r="Q603" s="89"/>
      <c r="T603" s="89"/>
    </row>
    <row r="604" ht="14.25" customHeight="1">
      <c r="K604" s="89"/>
      <c r="Q604" s="89"/>
      <c r="T604" s="89"/>
    </row>
    <row r="605" ht="14.25" customHeight="1">
      <c r="K605" s="89"/>
      <c r="Q605" s="89"/>
      <c r="T605" s="89"/>
    </row>
    <row r="606" ht="14.25" customHeight="1">
      <c r="K606" s="89"/>
      <c r="Q606" s="89"/>
      <c r="T606" s="89"/>
    </row>
    <row r="607" ht="14.25" customHeight="1">
      <c r="K607" s="89"/>
      <c r="Q607" s="89"/>
      <c r="T607" s="89"/>
    </row>
    <row r="608" ht="14.25" customHeight="1">
      <c r="K608" s="89"/>
      <c r="Q608" s="89"/>
      <c r="T608" s="89"/>
    </row>
    <row r="609" ht="14.25" customHeight="1">
      <c r="K609" s="89"/>
      <c r="Q609" s="89"/>
      <c r="T609" s="89"/>
    </row>
    <row r="610" ht="14.25" customHeight="1">
      <c r="K610" s="89"/>
      <c r="Q610" s="89"/>
      <c r="T610" s="89"/>
    </row>
    <row r="611" ht="14.25" customHeight="1">
      <c r="K611" s="89"/>
      <c r="Q611" s="89"/>
      <c r="T611" s="89"/>
    </row>
    <row r="612" ht="14.25" customHeight="1">
      <c r="K612" s="89"/>
      <c r="Q612" s="89"/>
      <c r="T612" s="89"/>
    </row>
    <row r="613" ht="14.25" customHeight="1">
      <c r="K613" s="89"/>
      <c r="Q613" s="89"/>
      <c r="T613" s="89"/>
    </row>
    <row r="614" ht="14.25" customHeight="1">
      <c r="K614" s="89"/>
      <c r="Q614" s="89"/>
      <c r="T614" s="89"/>
    </row>
    <row r="615" ht="14.25" customHeight="1">
      <c r="K615" s="89"/>
      <c r="Q615" s="89"/>
      <c r="T615" s="89"/>
    </row>
    <row r="616" ht="14.25" customHeight="1">
      <c r="K616" s="89"/>
      <c r="Q616" s="89"/>
      <c r="T616" s="89"/>
    </row>
    <row r="617" ht="14.25" customHeight="1">
      <c r="K617" s="89"/>
      <c r="Q617" s="89"/>
      <c r="T617" s="89"/>
    </row>
    <row r="618" ht="14.25" customHeight="1">
      <c r="K618" s="89"/>
      <c r="Q618" s="89"/>
      <c r="T618" s="89"/>
    </row>
    <row r="619" ht="14.25" customHeight="1">
      <c r="K619" s="89"/>
      <c r="Q619" s="89"/>
      <c r="T619" s="89"/>
    </row>
    <row r="620" ht="14.25" customHeight="1">
      <c r="K620" s="89"/>
      <c r="Q620" s="89"/>
      <c r="T620" s="89"/>
    </row>
    <row r="621" ht="14.25" customHeight="1">
      <c r="K621" s="89"/>
      <c r="Q621" s="89"/>
      <c r="T621" s="89"/>
    </row>
    <row r="622" ht="14.25" customHeight="1">
      <c r="K622" s="89"/>
      <c r="Q622" s="89"/>
      <c r="T622" s="89"/>
    </row>
    <row r="623" ht="14.25" customHeight="1">
      <c r="K623" s="89"/>
      <c r="Q623" s="89"/>
      <c r="T623" s="89"/>
    </row>
    <row r="624" ht="14.25" customHeight="1">
      <c r="K624" s="89"/>
      <c r="Q624" s="89"/>
      <c r="T624" s="89"/>
    </row>
    <row r="625" ht="14.25" customHeight="1">
      <c r="K625" s="89"/>
      <c r="Q625" s="89"/>
      <c r="T625" s="89"/>
    </row>
    <row r="626" ht="14.25" customHeight="1">
      <c r="K626" s="89"/>
      <c r="Q626" s="89"/>
      <c r="T626" s="89"/>
    </row>
    <row r="627" ht="14.25" customHeight="1">
      <c r="K627" s="89"/>
      <c r="Q627" s="89"/>
      <c r="T627" s="89"/>
    </row>
    <row r="628" ht="14.25" customHeight="1">
      <c r="K628" s="89"/>
      <c r="Q628" s="89"/>
      <c r="T628" s="89"/>
    </row>
    <row r="629" ht="14.25" customHeight="1">
      <c r="K629" s="89"/>
      <c r="Q629" s="89"/>
      <c r="T629" s="89"/>
    </row>
    <row r="630" ht="14.25" customHeight="1">
      <c r="K630" s="89"/>
      <c r="Q630" s="89"/>
      <c r="T630" s="89"/>
    </row>
    <row r="631" ht="14.25" customHeight="1">
      <c r="K631" s="89"/>
      <c r="Q631" s="89"/>
      <c r="T631" s="89"/>
    </row>
    <row r="632" ht="14.25" customHeight="1">
      <c r="K632" s="89"/>
      <c r="Q632" s="89"/>
      <c r="T632" s="89"/>
    </row>
    <row r="633" ht="14.25" customHeight="1">
      <c r="K633" s="89"/>
      <c r="Q633" s="89"/>
      <c r="T633" s="89"/>
    </row>
    <row r="634" ht="14.25" customHeight="1">
      <c r="K634" s="89"/>
      <c r="Q634" s="89"/>
      <c r="T634" s="89"/>
    </row>
    <row r="635" ht="14.25" customHeight="1">
      <c r="K635" s="89"/>
      <c r="Q635" s="89"/>
      <c r="T635" s="89"/>
    </row>
    <row r="636" ht="14.25" customHeight="1">
      <c r="K636" s="89"/>
      <c r="Q636" s="89"/>
      <c r="T636" s="89"/>
    </row>
    <row r="637" ht="14.25" customHeight="1">
      <c r="K637" s="89"/>
      <c r="Q637" s="89"/>
      <c r="T637" s="89"/>
    </row>
    <row r="638" ht="14.25" customHeight="1">
      <c r="K638" s="89"/>
      <c r="Q638" s="89"/>
      <c r="T638" s="89"/>
    </row>
    <row r="639" ht="14.25" customHeight="1">
      <c r="K639" s="89"/>
      <c r="Q639" s="89"/>
      <c r="T639" s="89"/>
    </row>
    <row r="640" ht="14.25" customHeight="1">
      <c r="K640" s="89"/>
      <c r="Q640" s="89"/>
      <c r="T640" s="89"/>
    </row>
    <row r="641" ht="14.25" customHeight="1">
      <c r="K641" s="89"/>
      <c r="Q641" s="89"/>
      <c r="T641" s="89"/>
    </row>
    <row r="642" ht="14.25" customHeight="1">
      <c r="K642" s="89"/>
      <c r="Q642" s="89"/>
      <c r="T642" s="89"/>
    </row>
    <row r="643" ht="14.25" customHeight="1">
      <c r="K643" s="89"/>
      <c r="Q643" s="89"/>
      <c r="T643" s="89"/>
    </row>
    <row r="644" ht="14.25" customHeight="1">
      <c r="K644" s="89"/>
      <c r="Q644" s="89"/>
      <c r="T644" s="89"/>
    </row>
    <row r="645" ht="14.25" customHeight="1">
      <c r="K645" s="89"/>
      <c r="Q645" s="89"/>
      <c r="T645" s="89"/>
    </row>
    <row r="646" ht="14.25" customHeight="1">
      <c r="K646" s="89"/>
      <c r="Q646" s="89"/>
      <c r="T646" s="89"/>
    </row>
    <row r="647" ht="14.25" customHeight="1">
      <c r="K647" s="89"/>
      <c r="Q647" s="89"/>
      <c r="T647" s="89"/>
    </row>
    <row r="648" ht="14.25" customHeight="1">
      <c r="K648" s="89"/>
      <c r="Q648" s="89"/>
      <c r="T648" s="89"/>
    </row>
    <row r="649" ht="14.25" customHeight="1">
      <c r="K649" s="89"/>
      <c r="Q649" s="89"/>
      <c r="T649" s="89"/>
    </row>
    <row r="650" ht="14.25" customHeight="1">
      <c r="K650" s="89"/>
      <c r="Q650" s="89"/>
      <c r="T650" s="89"/>
    </row>
    <row r="651" ht="14.25" customHeight="1">
      <c r="K651" s="89"/>
      <c r="Q651" s="89"/>
      <c r="T651" s="89"/>
    </row>
    <row r="652" ht="14.25" customHeight="1">
      <c r="K652" s="89"/>
      <c r="Q652" s="89"/>
      <c r="T652" s="89"/>
    </row>
    <row r="653" ht="14.25" customHeight="1">
      <c r="K653" s="89"/>
      <c r="Q653" s="89"/>
      <c r="T653" s="89"/>
    </row>
    <row r="654" ht="14.25" customHeight="1">
      <c r="K654" s="89"/>
      <c r="Q654" s="89"/>
      <c r="T654" s="89"/>
    </row>
    <row r="655" ht="14.25" customHeight="1">
      <c r="K655" s="89"/>
      <c r="Q655" s="89"/>
      <c r="T655" s="89"/>
    </row>
    <row r="656" ht="14.25" customHeight="1">
      <c r="K656" s="89"/>
      <c r="Q656" s="89"/>
      <c r="T656" s="89"/>
    </row>
    <row r="657" ht="14.25" customHeight="1">
      <c r="K657" s="89"/>
      <c r="Q657" s="89"/>
      <c r="T657" s="89"/>
    </row>
    <row r="658" ht="14.25" customHeight="1">
      <c r="K658" s="89"/>
      <c r="Q658" s="89"/>
      <c r="T658" s="89"/>
    </row>
    <row r="659" ht="14.25" customHeight="1">
      <c r="K659" s="89"/>
      <c r="Q659" s="89"/>
      <c r="T659" s="89"/>
    </row>
    <row r="660" ht="14.25" customHeight="1">
      <c r="K660" s="89"/>
      <c r="Q660" s="89"/>
      <c r="T660" s="89"/>
    </row>
    <row r="661" ht="14.25" customHeight="1">
      <c r="K661" s="89"/>
      <c r="Q661" s="89"/>
      <c r="T661" s="89"/>
    </row>
    <row r="662" ht="14.25" customHeight="1">
      <c r="K662" s="89"/>
      <c r="Q662" s="89"/>
      <c r="T662" s="89"/>
    </row>
    <row r="663" ht="14.25" customHeight="1">
      <c r="K663" s="89"/>
      <c r="Q663" s="89"/>
      <c r="T663" s="89"/>
    </row>
    <row r="664" ht="14.25" customHeight="1">
      <c r="K664" s="89"/>
      <c r="Q664" s="89"/>
      <c r="T664" s="89"/>
    </row>
    <row r="665" ht="14.25" customHeight="1">
      <c r="K665" s="89"/>
      <c r="Q665" s="89"/>
      <c r="T665" s="89"/>
    </row>
    <row r="666" ht="14.25" customHeight="1">
      <c r="K666" s="89"/>
      <c r="Q666" s="89"/>
      <c r="T666" s="89"/>
    </row>
    <row r="667" ht="14.25" customHeight="1">
      <c r="K667" s="89"/>
      <c r="Q667" s="89"/>
      <c r="T667" s="89"/>
    </row>
    <row r="668" ht="14.25" customHeight="1">
      <c r="K668" s="89"/>
      <c r="Q668" s="89"/>
      <c r="T668" s="89"/>
    </row>
    <row r="669" ht="14.25" customHeight="1">
      <c r="K669" s="89"/>
      <c r="Q669" s="89"/>
      <c r="T669" s="89"/>
    </row>
    <row r="670" ht="14.25" customHeight="1">
      <c r="K670" s="89"/>
      <c r="Q670" s="89"/>
      <c r="T670" s="89"/>
    </row>
    <row r="671" ht="14.25" customHeight="1">
      <c r="K671" s="89"/>
      <c r="Q671" s="89"/>
      <c r="T671" s="89"/>
    </row>
    <row r="672" ht="14.25" customHeight="1">
      <c r="K672" s="89"/>
      <c r="Q672" s="89"/>
      <c r="T672" s="89"/>
    </row>
    <row r="673" ht="14.25" customHeight="1">
      <c r="K673" s="89"/>
      <c r="Q673" s="89"/>
      <c r="T673" s="89"/>
    </row>
    <row r="674" ht="14.25" customHeight="1">
      <c r="K674" s="89"/>
      <c r="Q674" s="89"/>
      <c r="T674" s="89"/>
    </row>
    <row r="675" ht="14.25" customHeight="1">
      <c r="K675" s="89"/>
      <c r="Q675" s="89"/>
      <c r="T675" s="89"/>
    </row>
    <row r="676" ht="14.25" customHeight="1">
      <c r="K676" s="89"/>
      <c r="Q676" s="89"/>
      <c r="T676" s="89"/>
    </row>
    <row r="677" ht="14.25" customHeight="1">
      <c r="K677" s="89"/>
      <c r="Q677" s="89"/>
      <c r="T677" s="89"/>
    </row>
    <row r="678" ht="14.25" customHeight="1">
      <c r="K678" s="89"/>
      <c r="Q678" s="89"/>
      <c r="T678" s="89"/>
    </row>
    <row r="679" ht="14.25" customHeight="1">
      <c r="K679" s="89"/>
      <c r="Q679" s="89"/>
      <c r="T679" s="89"/>
    </row>
    <row r="680" ht="14.25" customHeight="1">
      <c r="K680" s="89"/>
      <c r="Q680" s="89"/>
      <c r="T680" s="89"/>
    </row>
    <row r="681" ht="14.25" customHeight="1">
      <c r="K681" s="89"/>
      <c r="Q681" s="89"/>
      <c r="T681" s="89"/>
    </row>
    <row r="682" ht="14.25" customHeight="1">
      <c r="K682" s="89"/>
      <c r="Q682" s="89"/>
      <c r="T682" s="89"/>
    </row>
    <row r="683" ht="14.25" customHeight="1">
      <c r="K683" s="89"/>
      <c r="Q683" s="89"/>
      <c r="T683" s="89"/>
    </row>
    <row r="684" ht="14.25" customHeight="1">
      <c r="K684" s="89"/>
      <c r="Q684" s="89"/>
      <c r="T684" s="89"/>
    </row>
    <row r="685" ht="14.25" customHeight="1">
      <c r="K685" s="89"/>
      <c r="Q685" s="89"/>
      <c r="T685" s="89"/>
    </row>
    <row r="686" ht="14.25" customHeight="1">
      <c r="K686" s="89"/>
      <c r="Q686" s="89"/>
      <c r="T686" s="89"/>
    </row>
    <row r="687" ht="14.25" customHeight="1">
      <c r="K687" s="89"/>
      <c r="Q687" s="89"/>
      <c r="T687" s="89"/>
    </row>
    <row r="688" ht="14.25" customHeight="1">
      <c r="K688" s="89"/>
      <c r="Q688" s="89"/>
      <c r="T688" s="89"/>
    </row>
    <row r="689" ht="14.25" customHeight="1">
      <c r="K689" s="89"/>
      <c r="Q689" s="89"/>
      <c r="T689" s="89"/>
    </row>
    <row r="690" ht="14.25" customHeight="1">
      <c r="K690" s="89"/>
      <c r="Q690" s="89"/>
      <c r="T690" s="89"/>
    </row>
    <row r="691" ht="14.25" customHeight="1">
      <c r="K691" s="89"/>
      <c r="Q691" s="89"/>
      <c r="T691" s="89"/>
    </row>
    <row r="692" ht="14.25" customHeight="1">
      <c r="K692" s="89"/>
      <c r="Q692" s="89"/>
      <c r="T692" s="89"/>
    </row>
    <row r="693" ht="14.25" customHeight="1">
      <c r="K693" s="89"/>
      <c r="Q693" s="89"/>
      <c r="T693" s="89"/>
    </row>
    <row r="694" ht="14.25" customHeight="1">
      <c r="K694" s="89"/>
      <c r="Q694" s="89"/>
      <c r="T694" s="89"/>
    </row>
    <row r="695" ht="14.25" customHeight="1">
      <c r="K695" s="89"/>
      <c r="Q695" s="89"/>
      <c r="T695" s="89"/>
    </row>
    <row r="696" ht="14.25" customHeight="1">
      <c r="K696" s="89"/>
      <c r="Q696" s="89"/>
      <c r="T696" s="89"/>
    </row>
    <row r="697" ht="14.25" customHeight="1">
      <c r="K697" s="89"/>
      <c r="Q697" s="89"/>
      <c r="T697" s="89"/>
    </row>
    <row r="698" ht="14.25" customHeight="1">
      <c r="K698" s="89"/>
      <c r="Q698" s="89"/>
      <c r="T698" s="89"/>
    </row>
    <row r="699" ht="14.25" customHeight="1">
      <c r="K699" s="89"/>
      <c r="Q699" s="89"/>
      <c r="T699" s="89"/>
    </row>
    <row r="700" ht="14.25" customHeight="1">
      <c r="K700" s="89"/>
      <c r="Q700" s="89"/>
      <c r="T700" s="89"/>
    </row>
    <row r="701" ht="14.25" customHeight="1">
      <c r="K701" s="89"/>
      <c r="Q701" s="89"/>
      <c r="T701" s="89"/>
    </row>
    <row r="702" ht="14.25" customHeight="1">
      <c r="K702" s="89"/>
      <c r="Q702" s="89"/>
      <c r="T702" s="89"/>
    </row>
    <row r="703" ht="14.25" customHeight="1">
      <c r="K703" s="89"/>
      <c r="Q703" s="89"/>
      <c r="T703" s="89"/>
    </row>
    <row r="704" ht="14.25" customHeight="1">
      <c r="K704" s="89"/>
      <c r="Q704" s="89"/>
      <c r="T704" s="89"/>
    </row>
    <row r="705" ht="14.25" customHeight="1">
      <c r="K705" s="89"/>
      <c r="Q705" s="89"/>
      <c r="T705" s="89"/>
    </row>
    <row r="706" ht="14.25" customHeight="1">
      <c r="K706" s="89"/>
      <c r="Q706" s="89"/>
      <c r="T706" s="89"/>
    </row>
    <row r="707" ht="14.25" customHeight="1">
      <c r="K707" s="89"/>
      <c r="Q707" s="89"/>
      <c r="T707" s="89"/>
    </row>
    <row r="708" ht="14.25" customHeight="1">
      <c r="K708" s="89"/>
      <c r="Q708" s="89"/>
      <c r="T708" s="89"/>
    </row>
    <row r="709" ht="14.25" customHeight="1">
      <c r="K709" s="89"/>
      <c r="Q709" s="89"/>
      <c r="T709" s="89"/>
    </row>
    <row r="710" ht="14.25" customHeight="1">
      <c r="K710" s="89"/>
      <c r="Q710" s="89"/>
      <c r="T710" s="89"/>
    </row>
    <row r="711" ht="14.25" customHeight="1">
      <c r="K711" s="89"/>
      <c r="Q711" s="89"/>
      <c r="T711" s="89"/>
    </row>
    <row r="712" ht="14.25" customHeight="1">
      <c r="K712" s="89"/>
      <c r="Q712" s="89"/>
      <c r="T712" s="89"/>
    </row>
    <row r="713" ht="14.25" customHeight="1">
      <c r="K713" s="89"/>
      <c r="Q713" s="89"/>
      <c r="T713" s="89"/>
    </row>
    <row r="714" ht="14.25" customHeight="1">
      <c r="K714" s="89"/>
      <c r="Q714" s="89"/>
      <c r="T714" s="89"/>
    </row>
    <row r="715" ht="14.25" customHeight="1">
      <c r="K715" s="89"/>
      <c r="Q715" s="89"/>
      <c r="T715" s="89"/>
    </row>
    <row r="716" ht="14.25" customHeight="1">
      <c r="K716" s="89"/>
      <c r="Q716" s="89"/>
      <c r="T716" s="89"/>
    </row>
    <row r="717" ht="14.25" customHeight="1">
      <c r="K717" s="89"/>
      <c r="Q717" s="89"/>
      <c r="T717" s="89"/>
    </row>
    <row r="718" ht="14.25" customHeight="1">
      <c r="K718" s="89"/>
      <c r="Q718" s="89"/>
      <c r="T718" s="89"/>
    </row>
    <row r="719" ht="14.25" customHeight="1">
      <c r="K719" s="89"/>
      <c r="Q719" s="89"/>
      <c r="T719" s="89"/>
    </row>
    <row r="720" ht="14.25" customHeight="1">
      <c r="K720" s="89"/>
      <c r="Q720" s="89"/>
      <c r="T720" s="89"/>
    </row>
    <row r="721" ht="14.25" customHeight="1">
      <c r="K721" s="89"/>
      <c r="Q721" s="89"/>
      <c r="T721" s="89"/>
    </row>
    <row r="722" ht="14.25" customHeight="1">
      <c r="K722" s="89"/>
      <c r="Q722" s="89"/>
      <c r="T722" s="89"/>
    </row>
    <row r="723" ht="14.25" customHeight="1">
      <c r="K723" s="89"/>
      <c r="Q723" s="89"/>
      <c r="T723" s="89"/>
    </row>
    <row r="724" ht="14.25" customHeight="1">
      <c r="K724" s="89"/>
      <c r="Q724" s="89"/>
      <c r="T724" s="89"/>
    </row>
    <row r="725" ht="14.25" customHeight="1">
      <c r="K725" s="89"/>
      <c r="Q725" s="89"/>
      <c r="T725" s="89"/>
    </row>
    <row r="726" ht="14.25" customHeight="1">
      <c r="K726" s="89"/>
      <c r="Q726" s="89"/>
      <c r="T726" s="89"/>
    </row>
    <row r="727" ht="14.25" customHeight="1">
      <c r="K727" s="89"/>
      <c r="Q727" s="89"/>
      <c r="T727" s="89"/>
    </row>
    <row r="728" ht="14.25" customHeight="1">
      <c r="K728" s="89"/>
      <c r="Q728" s="89"/>
      <c r="T728" s="89"/>
    </row>
    <row r="729" ht="14.25" customHeight="1">
      <c r="K729" s="89"/>
      <c r="Q729" s="89"/>
      <c r="T729" s="89"/>
    </row>
    <row r="730" ht="14.25" customHeight="1">
      <c r="K730" s="89"/>
      <c r="Q730" s="89"/>
      <c r="T730" s="89"/>
    </row>
    <row r="731" ht="14.25" customHeight="1">
      <c r="K731" s="89"/>
      <c r="Q731" s="89"/>
      <c r="T731" s="89"/>
    </row>
    <row r="732" ht="14.25" customHeight="1">
      <c r="K732" s="89"/>
      <c r="Q732" s="89"/>
      <c r="T732" s="89"/>
    </row>
    <row r="733" ht="14.25" customHeight="1">
      <c r="K733" s="89"/>
      <c r="Q733" s="89"/>
      <c r="T733" s="89"/>
    </row>
    <row r="734" ht="14.25" customHeight="1">
      <c r="K734" s="89"/>
      <c r="Q734" s="89"/>
      <c r="T734" s="89"/>
    </row>
    <row r="735" ht="14.25" customHeight="1">
      <c r="K735" s="89"/>
      <c r="Q735" s="89"/>
      <c r="T735" s="89"/>
    </row>
    <row r="736" ht="14.25" customHeight="1">
      <c r="K736" s="89"/>
      <c r="Q736" s="89"/>
      <c r="T736" s="89"/>
    </row>
    <row r="737" ht="14.25" customHeight="1">
      <c r="K737" s="89"/>
      <c r="Q737" s="89"/>
      <c r="T737" s="89"/>
    </row>
    <row r="738" ht="14.25" customHeight="1">
      <c r="K738" s="89"/>
      <c r="Q738" s="89"/>
      <c r="T738" s="89"/>
    </row>
    <row r="739" ht="14.25" customHeight="1">
      <c r="K739" s="89"/>
      <c r="Q739" s="89"/>
      <c r="T739" s="89"/>
    </row>
    <row r="740" ht="14.25" customHeight="1">
      <c r="K740" s="89"/>
      <c r="Q740" s="89"/>
      <c r="T740" s="89"/>
    </row>
    <row r="741" ht="14.25" customHeight="1">
      <c r="K741" s="89"/>
      <c r="Q741" s="89"/>
      <c r="T741" s="89"/>
    </row>
    <row r="742" ht="14.25" customHeight="1">
      <c r="K742" s="89"/>
      <c r="Q742" s="89"/>
      <c r="T742" s="89"/>
    </row>
    <row r="743" ht="14.25" customHeight="1">
      <c r="K743" s="89"/>
      <c r="Q743" s="89"/>
      <c r="T743" s="89"/>
    </row>
    <row r="744" ht="14.25" customHeight="1">
      <c r="K744" s="89"/>
      <c r="Q744" s="89"/>
      <c r="T744" s="89"/>
    </row>
    <row r="745" ht="14.25" customHeight="1">
      <c r="K745" s="89"/>
      <c r="Q745" s="89"/>
      <c r="T745" s="89"/>
    </row>
    <row r="746" ht="14.25" customHeight="1">
      <c r="K746" s="89"/>
      <c r="Q746" s="89"/>
      <c r="T746" s="89"/>
    </row>
    <row r="747" ht="14.25" customHeight="1">
      <c r="K747" s="89"/>
      <c r="Q747" s="89"/>
      <c r="T747" s="89"/>
    </row>
    <row r="748" ht="14.25" customHeight="1">
      <c r="K748" s="89"/>
      <c r="Q748" s="89"/>
      <c r="T748" s="89"/>
    </row>
    <row r="749" ht="14.25" customHeight="1">
      <c r="K749" s="89"/>
      <c r="Q749" s="89"/>
      <c r="T749" s="89"/>
    </row>
    <row r="750" ht="14.25" customHeight="1">
      <c r="K750" s="89"/>
      <c r="Q750" s="89"/>
      <c r="T750" s="89"/>
    </row>
    <row r="751" ht="14.25" customHeight="1">
      <c r="K751" s="89"/>
      <c r="Q751" s="89"/>
      <c r="T751" s="89"/>
    </row>
    <row r="752" ht="14.25" customHeight="1">
      <c r="K752" s="89"/>
      <c r="Q752" s="89"/>
      <c r="T752" s="89"/>
    </row>
    <row r="753" ht="14.25" customHeight="1">
      <c r="K753" s="89"/>
      <c r="Q753" s="89"/>
      <c r="T753" s="89"/>
    </row>
    <row r="754" ht="14.25" customHeight="1">
      <c r="K754" s="89"/>
      <c r="Q754" s="89"/>
      <c r="T754" s="89"/>
    </row>
    <row r="755" ht="14.25" customHeight="1">
      <c r="K755" s="89"/>
      <c r="Q755" s="89"/>
      <c r="T755" s="89"/>
    </row>
    <row r="756" ht="14.25" customHeight="1">
      <c r="K756" s="89"/>
      <c r="Q756" s="89"/>
      <c r="T756" s="89"/>
    </row>
    <row r="757" ht="14.25" customHeight="1">
      <c r="K757" s="89"/>
      <c r="Q757" s="89"/>
      <c r="T757" s="89"/>
    </row>
    <row r="758" ht="14.25" customHeight="1">
      <c r="K758" s="89"/>
      <c r="Q758" s="89"/>
      <c r="T758" s="89"/>
    </row>
    <row r="759" ht="14.25" customHeight="1">
      <c r="K759" s="89"/>
      <c r="Q759" s="89"/>
      <c r="T759" s="89"/>
    </row>
    <row r="760" ht="14.25" customHeight="1">
      <c r="K760" s="89"/>
      <c r="Q760" s="89"/>
      <c r="T760" s="89"/>
    </row>
    <row r="761" ht="14.25" customHeight="1">
      <c r="K761" s="89"/>
      <c r="Q761" s="89"/>
      <c r="T761" s="89"/>
    </row>
    <row r="762" ht="14.25" customHeight="1">
      <c r="K762" s="89"/>
      <c r="Q762" s="89"/>
      <c r="T762" s="89"/>
    </row>
    <row r="763" ht="14.25" customHeight="1">
      <c r="K763" s="89"/>
      <c r="Q763" s="89"/>
      <c r="T763" s="89"/>
    </row>
    <row r="764" ht="14.25" customHeight="1">
      <c r="K764" s="89"/>
      <c r="Q764" s="89"/>
      <c r="T764" s="89"/>
    </row>
    <row r="765" ht="14.25" customHeight="1">
      <c r="K765" s="89"/>
      <c r="Q765" s="89"/>
      <c r="T765" s="89"/>
    </row>
    <row r="766" ht="14.25" customHeight="1">
      <c r="K766" s="89"/>
      <c r="Q766" s="89"/>
      <c r="T766" s="89"/>
    </row>
    <row r="767" ht="14.25" customHeight="1">
      <c r="K767" s="89"/>
      <c r="Q767" s="89"/>
      <c r="T767" s="89"/>
    </row>
    <row r="768" ht="14.25" customHeight="1">
      <c r="K768" s="89"/>
      <c r="Q768" s="89"/>
      <c r="T768" s="89"/>
    </row>
    <row r="769" ht="14.25" customHeight="1">
      <c r="K769" s="89"/>
      <c r="Q769" s="89"/>
      <c r="T769" s="89"/>
    </row>
    <row r="770" ht="14.25" customHeight="1">
      <c r="K770" s="89"/>
      <c r="Q770" s="89"/>
      <c r="T770" s="89"/>
    </row>
    <row r="771" ht="14.25" customHeight="1">
      <c r="K771" s="89"/>
      <c r="Q771" s="89"/>
      <c r="T771" s="89"/>
    </row>
    <row r="772" ht="14.25" customHeight="1">
      <c r="K772" s="89"/>
      <c r="Q772" s="89"/>
      <c r="T772" s="89"/>
    </row>
    <row r="773" ht="14.25" customHeight="1">
      <c r="K773" s="89"/>
      <c r="Q773" s="89"/>
      <c r="T773" s="89"/>
    </row>
    <row r="774" ht="14.25" customHeight="1">
      <c r="K774" s="89"/>
      <c r="Q774" s="89"/>
      <c r="T774" s="89"/>
    </row>
    <row r="775" ht="14.25" customHeight="1">
      <c r="K775" s="89"/>
      <c r="Q775" s="89"/>
      <c r="T775" s="89"/>
    </row>
    <row r="776" ht="14.25" customHeight="1">
      <c r="K776" s="89"/>
      <c r="Q776" s="89"/>
      <c r="T776" s="89"/>
    </row>
    <row r="777" ht="14.25" customHeight="1">
      <c r="K777" s="89"/>
      <c r="Q777" s="89"/>
      <c r="T777" s="89"/>
    </row>
    <row r="778" ht="14.25" customHeight="1">
      <c r="K778" s="89"/>
      <c r="Q778" s="89"/>
      <c r="T778" s="89"/>
    </row>
    <row r="779" ht="14.25" customHeight="1">
      <c r="K779" s="89"/>
      <c r="Q779" s="89"/>
      <c r="T779" s="89"/>
    </row>
    <row r="780" ht="14.25" customHeight="1">
      <c r="K780" s="89"/>
      <c r="Q780" s="89"/>
      <c r="T780" s="89"/>
    </row>
    <row r="781" ht="14.25" customHeight="1">
      <c r="K781" s="89"/>
      <c r="Q781" s="89"/>
      <c r="T781" s="89"/>
    </row>
    <row r="782" ht="14.25" customHeight="1">
      <c r="K782" s="89"/>
      <c r="Q782" s="89"/>
      <c r="T782" s="89"/>
    </row>
    <row r="783" ht="14.25" customHeight="1">
      <c r="K783" s="89"/>
      <c r="Q783" s="89"/>
      <c r="T783" s="89"/>
    </row>
    <row r="784" ht="14.25" customHeight="1">
      <c r="K784" s="89"/>
      <c r="Q784" s="89"/>
      <c r="T784" s="89"/>
    </row>
    <row r="785" ht="14.25" customHeight="1">
      <c r="K785" s="89"/>
      <c r="Q785" s="89"/>
      <c r="T785" s="89"/>
    </row>
    <row r="786" ht="14.25" customHeight="1">
      <c r="K786" s="89"/>
      <c r="Q786" s="89"/>
      <c r="T786" s="89"/>
    </row>
    <row r="787" ht="14.25" customHeight="1">
      <c r="K787" s="89"/>
      <c r="Q787" s="89"/>
      <c r="T787" s="89"/>
    </row>
    <row r="788" ht="14.25" customHeight="1">
      <c r="K788" s="89"/>
      <c r="Q788" s="89"/>
      <c r="T788" s="89"/>
    </row>
    <row r="789" ht="14.25" customHeight="1">
      <c r="K789" s="89"/>
      <c r="Q789" s="89"/>
      <c r="T789" s="89"/>
    </row>
    <row r="790" ht="14.25" customHeight="1">
      <c r="K790" s="89"/>
      <c r="Q790" s="89"/>
      <c r="T790" s="89"/>
    </row>
    <row r="791" ht="14.25" customHeight="1">
      <c r="K791" s="89"/>
      <c r="Q791" s="89"/>
      <c r="T791" s="89"/>
    </row>
    <row r="792" ht="14.25" customHeight="1">
      <c r="K792" s="89"/>
      <c r="Q792" s="89"/>
      <c r="T792" s="89"/>
    </row>
    <row r="793" ht="14.25" customHeight="1">
      <c r="K793" s="89"/>
      <c r="Q793" s="89"/>
      <c r="T793" s="89"/>
    </row>
    <row r="794" ht="14.25" customHeight="1">
      <c r="K794" s="89"/>
      <c r="Q794" s="89"/>
      <c r="T794" s="89"/>
    </row>
    <row r="795" ht="14.25" customHeight="1">
      <c r="K795" s="89"/>
      <c r="Q795" s="89"/>
      <c r="T795" s="89"/>
    </row>
    <row r="796" ht="14.25" customHeight="1">
      <c r="K796" s="89"/>
      <c r="Q796" s="89"/>
      <c r="T796" s="89"/>
    </row>
    <row r="797" ht="14.25" customHeight="1">
      <c r="K797" s="89"/>
      <c r="Q797" s="89"/>
      <c r="T797" s="89"/>
    </row>
    <row r="798" ht="14.25" customHeight="1">
      <c r="K798" s="89"/>
      <c r="Q798" s="89"/>
      <c r="T798" s="89"/>
    </row>
    <row r="799" ht="14.25" customHeight="1">
      <c r="K799" s="89"/>
      <c r="Q799" s="89"/>
      <c r="T799" s="89"/>
    </row>
    <row r="800" ht="14.25" customHeight="1">
      <c r="K800" s="89"/>
      <c r="Q800" s="89"/>
      <c r="T800" s="89"/>
    </row>
    <row r="801" ht="14.25" customHeight="1">
      <c r="K801" s="89"/>
      <c r="Q801" s="89"/>
      <c r="T801" s="89"/>
    </row>
    <row r="802" ht="14.25" customHeight="1">
      <c r="K802" s="89"/>
      <c r="Q802" s="89"/>
      <c r="T802" s="89"/>
    </row>
    <row r="803" ht="14.25" customHeight="1">
      <c r="K803" s="89"/>
      <c r="Q803" s="89"/>
      <c r="T803" s="89"/>
    </row>
    <row r="804" ht="14.25" customHeight="1">
      <c r="K804" s="89"/>
      <c r="Q804" s="89"/>
      <c r="T804" s="89"/>
    </row>
    <row r="805" ht="14.25" customHeight="1">
      <c r="K805" s="89"/>
      <c r="Q805" s="89"/>
      <c r="T805" s="89"/>
    </row>
    <row r="806" ht="14.25" customHeight="1">
      <c r="K806" s="89"/>
      <c r="Q806" s="89"/>
      <c r="T806" s="89"/>
    </row>
    <row r="807" ht="14.25" customHeight="1">
      <c r="K807" s="89"/>
      <c r="Q807" s="89"/>
      <c r="T807" s="89"/>
    </row>
    <row r="808" ht="14.25" customHeight="1">
      <c r="K808" s="89"/>
      <c r="Q808" s="89"/>
      <c r="T808" s="89"/>
    </row>
    <row r="809" ht="14.25" customHeight="1">
      <c r="K809" s="89"/>
      <c r="Q809" s="89"/>
      <c r="T809" s="89"/>
    </row>
    <row r="810" ht="14.25" customHeight="1">
      <c r="K810" s="89"/>
      <c r="Q810" s="89"/>
      <c r="T810" s="89"/>
    </row>
    <row r="811" ht="14.25" customHeight="1">
      <c r="K811" s="89"/>
      <c r="Q811" s="89"/>
      <c r="T811" s="89"/>
    </row>
    <row r="812" ht="14.25" customHeight="1">
      <c r="K812" s="89"/>
      <c r="Q812" s="89"/>
      <c r="T812" s="89"/>
    </row>
    <row r="813" ht="14.25" customHeight="1">
      <c r="K813" s="89"/>
      <c r="Q813" s="89"/>
      <c r="T813" s="89"/>
    </row>
    <row r="814" ht="14.25" customHeight="1">
      <c r="K814" s="89"/>
      <c r="Q814" s="89"/>
      <c r="T814" s="89"/>
    </row>
    <row r="815" ht="14.25" customHeight="1">
      <c r="K815" s="89"/>
      <c r="Q815" s="89"/>
      <c r="T815" s="89"/>
    </row>
    <row r="816" ht="14.25" customHeight="1">
      <c r="K816" s="89"/>
      <c r="Q816" s="89"/>
      <c r="T816" s="89"/>
    </row>
    <row r="817" ht="14.25" customHeight="1">
      <c r="K817" s="89"/>
      <c r="Q817" s="89"/>
      <c r="T817" s="89"/>
    </row>
    <row r="818" ht="14.25" customHeight="1">
      <c r="K818" s="89"/>
      <c r="Q818" s="89"/>
      <c r="T818" s="89"/>
    </row>
    <row r="819" ht="14.25" customHeight="1">
      <c r="K819" s="89"/>
      <c r="Q819" s="89"/>
      <c r="T819" s="89"/>
    </row>
    <row r="820" ht="14.25" customHeight="1">
      <c r="K820" s="89"/>
      <c r="Q820" s="89"/>
      <c r="T820" s="89"/>
    </row>
    <row r="821" ht="14.25" customHeight="1">
      <c r="K821" s="89"/>
      <c r="Q821" s="89"/>
      <c r="T821" s="89"/>
    </row>
    <row r="822" ht="14.25" customHeight="1">
      <c r="K822" s="89"/>
      <c r="Q822" s="89"/>
      <c r="T822" s="89"/>
    </row>
    <row r="823" ht="14.25" customHeight="1">
      <c r="K823" s="89"/>
      <c r="Q823" s="89"/>
      <c r="T823" s="89"/>
    </row>
    <row r="824" ht="14.25" customHeight="1">
      <c r="K824" s="89"/>
      <c r="Q824" s="89"/>
      <c r="T824" s="89"/>
    </row>
    <row r="825" ht="14.25" customHeight="1">
      <c r="K825" s="89"/>
      <c r="Q825" s="89"/>
      <c r="T825" s="89"/>
    </row>
    <row r="826" ht="14.25" customHeight="1">
      <c r="K826" s="89"/>
      <c r="Q826" s="89"/>
      <c r="T826" s="89"/>
    </row>
    <row r="827" ht="14.25" customHeight="1">
      <c r="K827" s="89"/>
      <c r="Q827" s="89"/>
      <c r="T827" s="89"/>
    </row>
    <row r="828" ht="14.25" customHeight="1">
      <c r="K828" s="89"/>
      <c r="Q828" s="89"/>
      <c r="T828" s="89"/>
    </row>
    <row r="829" ht="14.25" customHeight="1">
      <c r="K829" s="89"/>
      <c r="Q829" s="89"/>
      <c r="T829" s="89"/>
    </row>
    <row r="830" ht="14.25" customHeight="1">
      <c r="K830" s="89"/>
      <c r="Q830" s="89"/>
      <c r="T830" s="89"/>
    </row>
    <row r="831" ht="14.25" customHeight="1">
      <c r="K831" s="89"/>
      <c r="Q831" s="89"/>
      <c r="T831" s="89"/>
    </row>
    <row r="832" ht="14.25" customHeight="1">
      <c r="K832" s="89"/>
      <c r="Q832" s="89"/>
      <c r="T832" s="89"/>
    </row>
    <row r="833" ht="14.25" customHeight="1">
      <c r="K833" s="89"/>
      <c r="Q833" s="89"/>
      <c r="T833" s="89"/>
    </row>
    <row r="834" ht="14.25" customHeight="1">
      <c r="K834" s="89"/>
      <c r="Q834" s="89"/>
      <c r="T834" s="89"/>
    </row>
    <row r="835" ht="14.25" customHeight="1">
      <c r="K835" s="89"/>
      <c r="Q835" s="89"/>
      <c r="T835" s="89"/>
    </row>
    <row r="836" ht="14.25" customHeight="1">
      <c r="K836" s="89"/>
      <c r="Q836" s="89"/>
      <c r="T836" s="89"/>
    </row>
    <row r="837" ht="14.25" customHeight="1">
      <c r="K837" s="89"/>
      <c r="Q837" s="89"/>
      <c r="T837" s="89"/>
    </row>
    <row r="838" ht="14.25" customHeight="1">
      <c r="K838" s="89"/>
      <c r="Q838" s="89"/>
      <c r="T838" s="89"/>
    </row>
    <row r="839" ht="14.25" customHeight="1">
      <c r="K839" s="89"/>
      <c r="Q839" s="89"/>
      <c r="T839" s="89"/>
    </row>
    <row r="840" ht="14.25" customHeight="1">
      <c r="K840" s="89"/>
      <c r="Q840" s="89"/>
      <c r="T840" s="89"/>
    </row>
    <row r="841" ht="14.25" customHeight="1">
      <c r="K841" s="89"/>
      <c r="Q841" s="89"/>
      <c r="T841" s="89"/>
    </row>
    <row r="842" ht="14.25" customHeight="1">
      <c r="K842" s="89"/>
      <c r="Q842" s="89"/>
      <c r="T842" s="89"/>
    </row>
    <row r="843" ht="14.25" customHeight="1">
      <c r="K843" s="89"/>
      <c r="Q843" s="89"/>
      <c r="T843" s="89"/>
    </row>
    <row r="844" ht="14.25" customHeight="1">
      <c r="K844" s="89"/>
      <c r="Q844" s="89"/>
      <c r="T844" s="89"/>
    </row>
    <row r="845" ht="14.25" customHeight="1">
      <c r="K845" s="89"/>
      <c r="Q845" s="89"/>
      <c r="T845" s="89"/>
    </row>
    <row r="846" ht="14.25" customHeight="1">
      <c r="K846" s="89"/>
      <c r="Q846" s="89"/>
      <c r="T846" s="89"/>
    </row>
    <row r="847" ht="14.25" customHeight="1">
      <c r="K847" s="89"/>
      <c r="Q847" s="89"/>
      <c r="T847" s="89"/>
    </row>
    <row r="848" ht="14.25" customHeight="1">
      <c r="K848" s="89"/>
      <c r="Q848" s="89"/>
      <c r="T848" s="89"/>
    </row>
    <row r="849" ht="14.25" customHeight="1">
      <c r="K849" s="89"/>
      <c r="Q849" s="89"/>
      <c r="T849" s="89"/>
    </row>
    <row r="850" ht="14.25" customHeight="1">
      <c r="K850" s="89"/>
      <c r="Q850" s="89"/>
      <c r="T850" s="89"/>
    </row>
    <row r="851" ht="14.25" customHeight="1">
      <c r="K851" s="89"/>
      <c r="Q851" s="89"/>
      <c r="T851" s="89"/>
    </row>
    <row r="852" ht="14.25" customHeight="1">
      <c r="K852" s="89"/>
      <c r="Q852" s="89"/>
      <c r="T852" s="89"/>
    </row>
    <row r="853" ht="14.25" customHeight="1">
      <c r="K853" s="89"/>
      <c r="Q853" s="89"/>
      <c r="T853" s="89"/>
    </row>
    <row r="854" ht="14.25" customHeight="1">
      <c r="K854" s="89"/>
      <c r="Q854" s="89"/>
      <c r="T854" s="89"/>
    </row>
    <row r="855" ht="14.25" customHeight="1">
      <c r="K855" s="89"/>
      <c r="Q855" s="89"/>
      <c r="T855" s="89"/>
    </row>
    <row r="856" ht="14.25" customHeight="1">
      <c r="K856" s="89"/>
      <c r="Q856" s="89"/>
      <c r="T856" s="89"/>
    </row>
    <row r="857" ht="14.25" customHeight="1">
      <c r="K857" s="89"/>
      <c r="Q857" s="89"/>
      <c r="T857" s="89"/>
    </row>
    <row r="858" ht="14.25" customHeight="1">
      <c r="K858" s="89"/>
      <c r="Q858" s="89"/>
      <c r="T858" s="89"/>
    </row>
    <row r="859" ht="14.25" customHeight="1">
      <c r="K859" s="89"/>
      <c r="Q859" s="89"/>
      <c r="T859" s="89"/>
    </row>
    <row r="860" ht="14.25" customHeight="1">
      <c r="K860" s="89"/>
      <c r="Q860" s="89"/>
      <c r="T860" s="89"/>
    </row>
    <row r="861" ht="14.25" customHeight="1">
      <c r="K861" s="89"/>
      <c r="Q861" s="89"/>
      <c r="T861" s="89"/>
    </row>
    <row r="862" ht="14.25" customHeight="1">
      <c r="K862" s="89"/>
      <c r="Q862" s="89"/>
      <c r="T862" s="89"/>
    </row>
    <row r="863" ht="14.25" customHeight="1">
      <c r="K863" s="89"/>
      <c r="Q863" s="89"/>
      <c r="T863" s="89"/>
    </row>
    <row r="864" ht="14.25" customHeight="1">
      <c r="K864" s="89"/>
      <c r="Q864" s="89"/>
      <c r="T864" s="89"/>
    </row>
    <row r="865" ht="14.25" customHeight="1">
      <c r="K865" s="89"/>
      <c r="Q865" s="89"/>
      <c r="T865" s="89"/>
    </row>
    <row r="866" ht="14.25" customHeight="1">
      <c r="K866" s="89"/>
      <c r="Q866" s="89"/>
      <c r="T866" s="89"/>
    </row>
    <row r="867" ht="14.25" customHeight="1">
      <c r="K867" s="89"/>
      <c r="Q867" s="89"/>
      <c r="T867" s="89"/>
    </row>
    <row r="868" ht="14.25" customHeight="1">
      <c r="K868" s="89"/>
      <c r="Q868" s="89"/>
      <c r="T868" s="89"/>
    </row>
    <row r="869" ht="14.25" customHeight="1">
      <c r="K869" s="89"/>
      <c r="Q869" s="89"/>
      <c r="T869" s="89"/>
    </row>
    <row r="870" ht="14.25" customHeight="1">
      <c r="K870" s="89"/>
      <c r="Q870" s="89"/>
      <c r="T870" s="89"/>
    </row>
    <row r="871" ht="14.25" customHeight="1">
      <c r="K871" s="89"/>
      <c r="Q871" s="89"/>
      <c r="T871" s="89"/>
    </row>
    <row r="872" ht="14.25" customHeight="1">
      <c r="K872" s="89"/>
      <c r="Q872" s="89"/>
      <c r="T872" s="89"/>
    </row>
    <row r="873" ht="14.25" customHeight="1">
      <c r="K873" s="89"/>
      <c r="Q873" s="89"/>
      <c r="T873" s="89"/>
    </row>
    <row r="874" ht="14.25" customHeight="1">
      <c r="K874" s="89"/>
      <c r="Q874" s="89"/>
      <c r="T874" s="89"/>
    </row>
    <row r="875" ht="14.25" customHeight="1">
      <c r="K875" s="89"/>
      <c r="Q875" s="89"/>
      <c r="T875" s="89"/>
    </row>
    <row r="876" ht="14.25" customHeight="1">
      <c r="K876" s="89"/>
      <c r="Q876" s="89"/>
      <c r="T876" s="89"/>
    </row>
    <row r="877" ht="14.25" customHeight="1">
      <c r="K877" s="89"/>
      <c r="Q877" s="89"/>
      <c r="T877" s="89"/>
    </row>
    <row r="878" ht="14.25" customHeight="1">
      <c r="K878" s="89"/>
      <c r="Q878" s="89"/>
      <c r="T878" s="89"/>
    </row>
    <row r="879" ht="14.25" customHeight="1">
      <c r="K879" s="89"/>
      <c r="Q879" s="89"/>
      <c r="T879" s="89"/>
    </row>
    <row r="880" ht="14.25" customHeight="1">
      <c r="K880" s="89"/>
      <c r="Q880" s="89"/>
      <c r="T880" s="89"/>
    </row>
    <row r="881" ht="14.25" customHeight="1">
      <c r="K881" s="89"/>
      <c r="Q881" s="89"/>
      <c r="T881" s="89"/>
    </row>
    <row r="882" ht="14.25" customHeight="1">
      <c r="K882" s="89"/>
      <c r="Q882" s="89"/>
      <c r="T882" s="89"/>
    </row>
    <row r="883" ht="14.25" customHeight="1">
      <c r="K883" s="89"/>
      <c r="Q883" s="89"/>
      <c r="T883" s="89"/>
    </row>
    <row r="884" ht="14.25" customHeight="1">
      <c r="K884" s="89"/>
      <c r="Q884" s="89"/>
      <c r="T884" s="89"/>
    </row>
    <row r="885" ht="14.25" customHeight="1">
      <c r="K885" s="89"/>
      <c r="Q885" s="89"/>
      <c r="T885" s="89"/>
    </row>
    <row r="886" ht="14.25" customHeight="1">
      <c r="K886" s="89"/>
      <c r="Q886" s="89"/>
      <c r="T886" s="89"/>
    </row>
    <row r="887" ht="14.25" customHeight="1">
      <c r="K887" s="89"/>
      <c r="Q887" s="89"/>
      <c r="T887" s="89"/>
    </row>
    <row r="888" ht="14.25" customHeight="1">
      <c r="K888" s="89"/>
      <c r="Q888" s="89"/>
      <c r="T888" s="89"/>
    </row>
    <row r="889" ht="14.25" customHeight="1">
      <c r="K889" s="89"/>
      <c r="Q889" s="89"/>
      <c r="T889" s="89"/>
    </row>
    <row r="890" ht="14.25" customHeight="1">
      <c r="K890" s="89"/>
      <c r="Q890" s="89"/>
      <c r="T890" s="89"/>
    </row>
    <row r="891" ht="14.25" customHeight="1">
      <c r="K891" s="89"/>
      <c r="Q891" s="89"/>
      <c r="T891" s="89"/>
    </row>
    <row r="892" ht="14.25" customHeight="1">
      <c r="K892" s="89"/>
      <c r="Q892" s="89"/>
      <c r="T892" s="89"/>
    </row>
    <row r="893" ht="14.25" customHeight="1">
      <c r="K893" s="89"/>
      <c r="Q893" s="89"/>
      <c r="T893" s="89"/>
    </row>
    <row r="894" ht="14.25" customHeight="1">
      <c r="K894" s="89"/>
      <c r="Q894" s="89"/>
      <c r="T894" s="89"/>
    </row>
    <row r="895" ht="14.25" customHeight="1">
      <c r="K895" s="89"/>
      <c r="Q895" s="89"/>
      <c r="T895" s="89"/>
    </row>
    <row r="896" ht="14.25" customHeight="1">
      <c r="K896" s="89"/>
      <c r="Q896" s="89"/>
      <c r="T896" s="89"/>
    </row>
    <row r="897" ht="14.25" customHeight="1">
      <c r="K897" s="89"/>
      <c r="Q897" s="89"/>
      <c r="T897" s="89"/>
    </row>
    <row r="898" ht="14.25" customHeight="1">
      <c r="K898" s="89"/>
      <c r="Q898" s="89"/>
      <c r="T898" s="89"/>
    </row>
    <row r="899" ht="14.25" customHeight="1">
      <c r="K899" s="89"/>
      <c r="Q899" s="89"/>
      <c r="T899" s="89"/>
    </row>
    <row r="900" ht="14.25" customHeight="1">
      <c r="K900" s="89"/>
      <c r="Q900" s="89"/>
      <c r="T900" s="89"/>
    </row>
    <row r="901" ht="14.25" customHeight="1">
      <c r="K901" s="89"/>
      <c r="Q901" s="89"/>
      <c r="T901" s="89"/>
    </row>
    <row r="902" ht="14.25" customHeight="1">
      <c r="K902" s="89"/>
      <c r="Q902" s="89"/>
      <c r="T902" s="89"/>
    </row>
    <row r="903" ht="14.25" customHeight="1">
      <c r="K903" s="89"/>
      <c r="Q903" s="89"/>
      <c r="T903" s="89"/>
    </row>
    <row r="904" ht="14.25" customHeight="1">
      <c r="K904" s="89"/>
      <c r="Q904" s="89"/>
      <c r="T904" s="89"/>
    </row>
    <row r="905" ht="14.25" customHeight="1">
      <c r="K905" s="89"/>
      <c r="Q905" s="89"/>
      <c r="T905" s="89"/>
    </row>
    <row r="906" ht="14.25" customHeight="1">
      <c r="K906" s="89"/>
      <c r="Q906" s="89"/>
      <c r="T906" s="89"/>
    </row>
    <row r="907" ht="14.25" customHeight="1">
      <c r="K907" s="89"/>
      <c r="Q907" s="89"/>
      <c r="T907" s="89"/>
    </row>
    <row r="908" ht="14.25" customHeight="1">
      <c r="K908" s="89"/>
      <c r="Q908" s="89"/>
      <c r="T908" s="89"/>
    </row>
    <row r="909" ht="14.25" customHeight="1">
      <c r="K909" s="89"/>
      <c r="Q909" s="89"/>
      <c r="T909" s="89"/>
    </row>
    <row r="910" ht="14.25" customHeight="1">
      <c r="K910" s="89"/>
      <c r="Q910" s="89"/>
      <c r="T910" s="89"/>
    </row>
    <row r="911" ht="14.25" customHeight="1">
      <c r="K911" s="89"/>
      <c r="Q911" s="89"/>
      <c r="T911" s="89"/>
    </row>
    <row r="912" ht="14.25" customHeight="1">
      <c r="K912" s="89"/>
      <c r="Q912" s="89"/>
      <c r="T912" s="89"/>
    </row>
    <row r="913" ht="14.25" customHeight="1">
      <c r="K913" s="89"/>
      <c r="Q913" s="89"/>
      <c r="T913" s="89"/>
    </row>
    <row r="914" ht="14.25" customHeight="1">
      <c r="K914" s="89"/>
      <c r="Q914" s="89"/>
      <c r="T914" s="89"/>
    </row>
    <row r="915" ht="14.25" customHeight="1">
      <c r="K915" s="89"/>
      <c r="Q915" s="89"/>
      <c r="T915" s="89"/>
    </row>
    <row r="916" ht="14.25" customHeight="1">
      <c r="K916" s="89"/>
      <c r="Q916" s="89"/>
      <c r="T916" s="89"/>
    </row>
    <row r="917" ht="14.25" customHeight="1">
      <c r="K917" s="89"/>
      <c r="Q917" s="89"/>
      <c r="T917" s="89"/>
    </row>
    <row r="918" ht="14.25" customHeight="1">
      <c r="K918" s="89"/>
      <c r="Q918" s="89"/>
      <c r="T918" s="89"/>
    </row>
    <row r="919" ht="14.25" customHeight="1">
      <c r="K919" s="89"/>
      <c r="Q919" s="89"/>
      <c r="T919" s="89"/>
    </row>
    <row r="920" ht="14.25" customHeight="1">
      <c r="K920" s="89"/>
      <c r="Q920" s="89"/>
      <c r="T920" s="89"/>
    </row>
    <row r="921" ht="14.25" customHeight="1">
      <c r="K921" s="89"/>
      <c r="Q921" s="89"/>
      <c r="T921" s="89"/>
    </row>
    <row r="922" ht="14.25" customHeight="1">
      <c r="K922" s="89"/>
      <c r="Q922" s="89"/>
      <c r="T922" s="89"/>
    </row>
    <row r="923" ht="14.25" customHeight="1">
      <c r="K923" s="89"/>
      <c r="Q923" s="89"/>
      <c r="T923" s="89"/>
    </row>
    <row r="924" ht="14.25" customHeight="1">
      <c r="K924" s="89"/>
      <c r="Q924" s="89"/>
      <c r="T924" s="89"/>
    </row>
    <row r="925" ht="14.25" customHeight="1">
      <c r="K925" s="89"/>
      <c r="Q925" s="89"/>
      <c r="T925" s="89"/>
    </row>
    <row r="926" ht="14.25" customHeight="1">
      <c r="K926" s="89"/>
      <c r="Q926" s="89"/>
      <c r="T926" s="89"/>
    </row>
    <row r="927" ht="14.25" customHeight="1">
      <c r="K927" s="89"/>
      <c r="Q927" s="89"/>
      <c r="T927" s="89"/>
    </row>
    <row r="928" ht="14.25" customHeight="1">
      <c r="K928" s="89"/>
      <c r="Q928" s="89"/>
      <c r="T928" s="89"/>
    </row>
    <row r="929" ht="14.25" customHeight="1">
      <c r="K929" s="89"/>
      <c r="Q929" s="89"/>
      <c r="T929" s="89"/>
    </row>
    <row r="930" ht="14.25" customHeight="1">
      <c r="K930" s="89"/>
      <c r="Q930" s="89"/>
      <c r="T930" s="89"/>
    </row>
    <row r="931" ht="14.25" customHeight="1">
      <c r="K931" s="89"/>
      <c r="Q931" s="89"/>
      <c r="T931" s="89"/>
    </row>
    <row r="932" ht="14.25" customHeight="1">
      <c r="K932" s="89"/>
      <c r="Q932" s="89"/>
      <c r="T932" s="89"/>
    </row>
    <row r="933" ht="14.25" customHeight="1">
      <c r="K933" s="89"/>
      <c r="Q933" s="89"/>
      <c r="T933" s="89"/>
    </row>
    <row r="934" ht="14.25" customHeight="1">
      <c r="K934" s="89"/>
      <c r="Q934" s="89"/>
      <c r="T934" s="89"/>
    </row>
    <row r="935" ht="14.25" customHeight="1">
      <c r="K935" s="89"/>
      <c r="Q935" s="89"/>
      <c r="T935" s="89"/>
    </row>
    <row r="936" ht="14.25" customHeight="1">
      <c r="K936" s="89"/>
      <c r="Q936" s="89"/>
      <c r="T936" s="89"/>
    </row>
    <row r="937" ht="14.25" customHeight="1">
      <c r="K937" s="89"/>
      <c r="Q937" s="89"/>
      <c r="T937" s="89"/>
    </row>
    <row r="938" ht="14.25" customHeight="1">
      <c r="K938" s="89"/>
      <c r="Q938" s="89"/>
      <c r="T938" s="89"/>
    </row>
    <row r="939" ht="14.25" customHeight="1">
      <c r="K939" s="89"/>
      <c r="Q939" s="89"/>
      <c r="T939" s="89"/>
    </row>
    <row r="940" ht="14.25" customHeight="1">
      <c r="K940" s="89"/>
      <c r="Q940" s="89"/>
      <c r="T940" s="89"/>
    </row>
    <row r="941" ht="14.25" customHeight="1">
      <c r="K941" s="89"/>
      <c r="Q941" s="89"/>
      <c r="T941" s="89"/>
    </row>
    <row r="942" ht="14.25" customHeight="1">
      <c r="K942" s="89"/>
      <c r="Q942" s="89"/>
      <c r="T942" s="89"/>
    </row>
    <row r="943" ht="14.25" customHeight="1">
      <c r="K943" s="89"/>
      <c r="Q943" s="89"/>
      <c r="T943" s="89"/>
    </row>
    <row r="944" ht="14.25" customHeight="1">
      <c r="K944" s="89"/>
      <c r="Q944" s="89"/>
      <c r="T944" s="89"/>
    </row>
    <row r="945" ht="14.25" customHeight="1">
      <c r="K945" s="89"/>
      <c r="Q945" s="89"/>
      <c r="T945" s="89"/>
    </row>
    <row r="946" ht="14.25" customHeight="1">
      <c r="K946" s="89"/>
      <c r="Q946" s="89"/>
      <c r="T946" s="89"/>
    </row>
    <row r="947" ht="14.25" customHeight="1">
      <c r="K947" s="89"/>
      <c r="Q947" s="89"/>
      <c r="T947" s="89"/>
    </row>
    <row r="948" ht="14.25" customHeight="1">
      <c r="K948" s="89"/>
      <c r="Q948" s="89"/>
      <c r="T948" s="89"/>
    </row>
    <row r="949" ht="14.25" customHeight="1">
      <c r="K949" s="89"/>
      <c r="Q949" s="89"/>
      <c r="T949" s="89"/>
    </row>
    <row r="950" ht="14.25" customHeight="1">
      <c r="K950" s="89"/>
      <c r="Q950" s="89"/>
      <c r="T950" s="89"/>
    </row>
    <row r="951" ht="14.25" customHeight="1">
      <c r="K951" s="89"/>
      <c r="Q951" s="89"/>
      <c r="T951" s="89"/>
    </row>
    <row r="952" ht="14.25" customHeight="1">
      <c r="K952" s="89"/>
      <c r="Q952" s="89"/>
      <c r="T952" s="89"/>
    </row>
    <row r="953" ht="14.25" customHeight="1">
      <c r="K953" s="89"/>
      <c r="Q953" s="89"/>
      <c r="T953" s="89"/>
    </row>
    <row r="954" ht="14.25" customHeight="1">
      <c r="K954" s="89"/>
      <c r="Q954" s="89"/>
      <c r="T954" s="89"/>
    </row>
    <row r="955" ht="14.25" customHeight="1">
      <c r="K955" s="89"/>
      <c r="Q955" s="89"/>
      <c r="T955" s="89"/>
    </row>
    <row r="956" ht="14.25" customHeight="1">
      <c r="K956" s="89"/>
      <c r="Q956" s="89"/>
      <c r="T956" s="89"/>
    </row>
    <row r="957" ht="14.25" customHeight="1">
      <c r="K957" s="89"/>
      <c r="Q957" s="89"/>
      <c r="T957" s="89"/>
    </row>
    <row r="958" ht="14.25" customHeight="1">
      <c r="K958" s="89"/>
      <c r="Q958" s="89"/>
      <c r="T958" s="89"/>
    </row>
    <row r="959" ht="14.25" customHeight="1">
      <c r="K959" s="89"/>
      <c r="Q959" s="89"/>
      <c r="T959" s="89"/>
    </row>
    <row r="960" ht="14.25" customHeight="1">
      <c r="K960" s="89"/>
      <c r="Q960" s="89"/>
      <c r="T960" s="89"/>
    </row>
    <row r="961" ht="14.25" customHeight="1">
      <c r="K961" s="89"/>
      <c r="Q961" s="89"/>
      <c r="T961" s="89"/>
    </row>
    <row r="962" ht="14.25" customHeight="1">
      <c r="K962" s="89"/>
      <c r="Q962" s="89"/>
      <c r="T962" s="89"/>
    </row>
    <row r="963" ht="14.25" customHeight="1">
      <c r="K963" s="89"/>
      <c r="Q963" s="89"/>
      <c r="T963" s="89"/>
    </row>
    <row r="964" ht="14.25" customHeight="1">
      <c r="K964" s="89"/>
      <c r="Q964" s="89"/>
      <c r="T964" s="89"/>
    </row>
    <row r="965" ht="14.25" customHeight="1">
      <c r="K965" s="89"/>
      <c r="Q965" s="89"/>
      <c r="T965" s="89"/>
    </row>
    <row r="966" ht="14.25" customHeight="1">
      <c r="K966" s="89"/>
      <c r="Q966" s="89"/>
      <c r="T966" s="89"/>
    </row>
    <row r="967" ht="14.25" customHeight="1">
      <c r="K967" s="89"/>
      <c r="Q967" s="89"/>
      <c r="T967" s="89"/>
    </row>
    <row r="968" ht="14.25" customHeight="1">
      <c r="K968" s="89"/>
      <c r="Q968" s="89"/>
      <c r="T968" s="89"/>
    </row>
    <row r="969" ht="14.25" customHeight="1">
      <c r="K969" s="89"/>
      <c r="Q969" s="89"/>
      <c r="T969" s="89"/>
    </row>
    <row r="970" ht="14.25" customHeight="1">
      <c r="K970" s="89"/>
      <c r="Q970" s="89"/>
      <c r="T970" s="89"/>
    </row>
    <row r="971" ht="14.25" customHeight="1">
      <c r="K971" s="89"/>
      <c r="Q971" s="89"/>
      <c r="T971" s="89"/>
    </row>
    <row r="972" ht="14.25" customHeight="1">
      <c r="K972" s="89"/>
      <c r="Q972" s="89"/>
      <c r="T972" s="89"/>
    </row>
    <row r="973" ht="14.25" customHeight="1">
      <c r="K973" s="89"/>
      <c r="Q973" s="89"/>
      <c r="T973" s="89"/>
    </row>
    <row r="974" ht="14.25" customHeight="1">
      <c r="K974" s="89"/>
      <c r="Q974" s="89"/>
      <c r="T974" s="89"/>
    </row>
    <row r="975" ht="14.25" customHeight="1">
      <c r="K975" s="89"/>
      <c r="Q975" s="89"/>
      <c r="T975" s="89"/>
    </row>
    <row r="976" ht="14.25" customHeight="1">
      <c r="K976" s="89"/>
      <c r="Q976" s="89"/>
      <c r="T976" s="89"/>
    </row>
    <row r="977" ht="14.25" customHeight="1">
      <c r="K977" s="89"/>
      <c r="Q977" s="89"/>
      <c r="T977" s="89"/>
    </row>
    <row r="978" ht="14.25" customHeight="1">
      <c r="K978" s="89"/>
      <c r="Q978" s="89"/>
      <c r="T978" s="89"/>
    </row>
    <row r="979" ht="14.25" customHeight="1">
      <c r="K979" s="89"/>
      <c r="Q979" s="89"/>
      <c r="T979" s="89"/>
    </row>
    <row r="980" ht="14.25" customHeight="1">
      <c r="K980" s="89"/>
      <c r="Q980" s="89"/>
      <c r="T980" s="89"/>
    </row>
    <row r="981" ht="14.25" customHeight="1">
      <c r="K981" s="89"/>
      <c r="Q981" s="89"/>
      <c r="T981" s="89"/>
    </row>
    <row r="982" ht="14.25" customHeight="1">
      <c r="K982" s="89"/>
      <c r="Q982" s="89"/>
      <c r="T982" s="89"/>
    </row>
    <row r="983" ht="14.25" customHeight="1">
      <c r="K983" s="89"/>
      <c r="Q983" s="89"/>
      <c r="T983" s="89"/>
    </row>
    <row r="984" ht="14.25" customHeight="1">
      <c r="K984" s="89"/>
      <c r="Q984" s="89"/>
      <c r="T984" s="89"/>
    </row>
    <row r="985" ht="14.25" customHeight="1">
      <c r="K985" s="89"/>
      <c r="Q985" s="89"/>
      <c r="T985" s="89"/>
    </row>
    <row r="986" ht="14.25" customHeight="1">
      <c r="K986" s="89"/>
      <c r="Q986" s="89"/>
      <c r="T986" s="89"/>
    </row>
    <row r="987" ht="14.25" customHeight="1">
      <c r="K987" s="89"/>
      <c r="Q987" s="89"/>
      <c r="T987" s="89"/>
    </row>
    <row r="988" ht="14.25" customHeight="1">
      <c r="K988" s="89"/>
      <c r="Q988" s="89"/>
      <c r="T988" s="89"/>
    </row>
    <row r="989" ht="14.25" customHeight="1">
      <c r="K989" s="89"/>
      <c r="Q989" s="89"/>
      <c r="T989" s="89"/>
    </row>
    <row r="990" ht="14.25" customHeight="1">
      <c r="K990" s="89"/>
      <c r="Q990" s="89"/>
      <c r="T990" s="89"/>
    </row>
    <row r="991" ht="14.25" customHeight="1">
      <c r="K991" s="89"/>
      <c r="Q991" s="89"/>
      <c r="T991" s="89"/>
    </row>
    <row r="992" ht="14.25" customHeight="1">
      <c r="K992" s="89"/>
      <c r="Q992" s="89"/>
      <c r="T992" s="89"/>
    </row>
    <row r="993" ht="14.25" customHeight="1">
      <c r="K993" s="89"/>
      <c r="Q993" s="89"/>
      <c r="T993" s="89"/>
    </row>
    <row r="994" ht="14.25" customHeight="1">
      <c r="K994" s="89"/>
      <c r="Q994" s="89"/>
      <c r="T994" s="89"/>
    </row>
    <row r="995" ht="14.25" customHeight="1">
      <c r="K995" s="89"/>
      <c r="Q995" s="89"/>
      <c r="T995" s="89"/>
    </row>
    <row r="996" ht="14.25" customHeight="1">
      <c r="K996" s="89"/>
      <c r="Q996" s="89"/>
      <c r="T996" s="89"/>
    </row>
    <row r="997" ht="14.25" customHeight="1">
      <c r="K997" s="89"/>
      <c r="Q997" s="89"/>
      <c r="T997" s="89"/>
    </row>
    <row r="998" ht="14.25" customHeight="1">
      <c r="K998" s="89"/>
      <c r="Q998" s="89"/>
      <c r="T998" s="89"/>
    </row>
    <row r="999" ht="14.25" customHeight="1">
      <c r="K999" s="89"/>
      <c r="Q999" s="89"/>
      <c r="T999" s="89"/>
    </row>
    <row r="1000" ht="14.25" customHeight="1">
      <c r="K1000" s="89"/>
      <c r="Q1000" s="89"/>
      <c r="T1000" s="89"/>
    </row>
  </sheetData>
  <customSheetViews>
    <customSheetView guid="{FF2DD070-7DCC-4CF3-8D8D-FF5ED68C4D40}" filter="1" showAutoFilter="1">
      <autoFilter ref="$A$6:$T$60"/>
      <extLst>
        <ext uri="GoogleSheetsCustomDataVersion1">
          <go:sheetsCustomData xmlns:go="http://customooxmlschemas.google.com/" filterViewId="1267305544"/>
        </ext>
      </extLst>
    </customSheetView>
  </customSheetViews>
  <mergeCells count="3">
    <mergeCell ref="A1:T1"/>
    <mergeCell ref="A2:T2"/>
    <mergeCell ref="A4:T4"/>
  </mergeCells>
  <conditionalFormatting sqref="K7:K59">
    <cfRule type="expression" dxfId="0" priority="1">
      <formula>K7="Conforme"</formula>
    </cfRule>
  </conditionalFormatting>
  <conditionalFormatting sqref="K7:K59">
    <cfRule type="expression" dxfId="1" priority="2">
      <formula>K7="Parcialmente conforme"</formula>
    </cfRule>
  </conditionalFormatting>
  <conditionalFormatting sqref="K7:K59">
    <cfRule type="expression" dxfId="2" priority="3">
      <formula>K7="Não conforme"</formula>
    </cfRule>
  </conditionalFormatting>
  <conditionalFormatting sqref="K7:K59">
    <cfRule type="expression" dxfId="3" priority="4">
      <formula>K7="Não se aplica"</formula>
    </cfRule>
  </conditionalFormatting>
  <conditionalFormatting sqref="K7:K59">
    <cfRule type="expression" dxfId="4" priority="5">
      <formula>K7="Não avaliado"</formula>
    </cfRule>
  </conditionalFormatting>
  <dataValidations>
    <dataValidation type="list" allowBlank="1" sqref="T7:T1000">
      <formula1>"Não iniciada,Em andamento,Concluída,Vencida,Suspensa"</formula1>
    </dataValidation>
    <dataValidation type="list" allowBlank="1" sqref="K7:K1000">
      <formula1>"Conforme,Parcialmente conforme,Não conforme,Não se aplica,Não avaliado"</formula1>
    </dataValidation>
    <dataValidation type="list" allowBlank="1" sqref="Q7:Q1000">
      <formula1>"Sim,Não"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0"/>
    <col customWidth="1" min="2" max="2" width="44.0"/>
    <col customWidth="1" min="3" max="3" width="22.0"/>
    <col customWidth="1" min="4" max="4" width="34.0"/>
    <col customWidth="1" min="5" max="5" width="42.0"/>
    <col customWidth="1" min="6" max="6" width="15.0"/>
    <col customWidth="1" min="7" max="7" width="25.0"/>
    <col customWidth="1" min="8" max="8" width="14.0"/>
    <col customWidth="1" min="9" max="26" width="8.63"/>
  </cols>
  <sheetData>
    <row r="1" ht="33.75" customHeight="1">
      <c r="A1" s="1" t="s">
        <v>2786</v>
      </c>
      <c r="B1" s="2"/>
      <c r="C1" s="2"/>
      <c r="D1" s="2"/>
      <c r="E1" s="2"/>
      <c r="F1" s="2"/>
      <c r="G1" s="2"/>
      <c r="H1" s="3"/>
    </row>
    <row r="2" ht="30.0" customHeight="1">
      <c r="A2" s="4" t="s">
        <v>2787</v>
      </c>
      <c r="B2" s="2"/>
      <c r="C2" s="2"/>
      <c r="D2" s="2"/>
      <c r="E2" s="2"/>
      <c r="F2" s="2"/>
      <c r="G2" s="2"/>
      <c r="H2" s="3"/>
    </row>
    <row r="3" ht="3.75" customHeight="1">
      <c r="A3" s="5"/>
      <c r="B3" s="5"/>
      <c r="C3" s="5"/>
      <c r="D3" s="5"/>
      <c r="E3" s="5"/>
      <c r="F3" s="5"/>
      <c r="G3" s="5"/>
      <c r="H3" s="5"/>
    </row>
    <row r="4" ht="14.25" customHeight="1">
      <c r="A4" s="133" t="s">
        <v>2788</v>
      </c>
      <c r="B4" s="3"/>
      <c r="C4" s="134" t="str">
        <f>'Plano de Auditoria'!A7</f>
        <v>AUD-002</v>
      </c>
      <c r="D4" s="135"/>
      <c r="E4" s="136" t="s">
        <v>2789</v>
      </c>
      <c r="F4" s="135"/>
      <c r="G4" s="137" t="str">
        <f>IF('Plano de Auditoria'!G6&lt;&gt;"",'Plano de Auditoria'!G6,IF('Plano de Auditoria'!F6="","",'Plano de Auditoria'!F6))</f>
        <v/>
      </c>
      <c r="H4" s="135"/>
    </row>
    <row r="5" ht="14.25" customHeight="1">
      <c r="A5" s="133" t="s">
        <v>2536</v>
      </c>
      <c r="B5" s="3"/>
      <c r="C5" s="134"/>
      <c r="D5" s="138"/>
      <c r="E5" s="138"/>
      <c r="F5" s="135"/>
      <c r="G5" s="139" t="s">
        <v>45</v>
      </c>
      <c r="H5" s="140" t="str">
        <f>IF('Plano de Auditoria'!C6="","",'Plano de Auditoria'!C6)</f>
        <v>DABEL</v>
      </c>
    </row>
    <row r="6" ht="14.25" customHeight="1">
      <c r="A6" s="133" t="s">
        <v>2541</v>
      </c>
      <c r="B6" s="3"/>
      <c r="C6" s="134" t="str">
        <f>IF('Plano de Auditoria'!H6="","",'Plano de Auditoria'!H6)</f>
        <v/>
      </c>
      <c r="D6" s="138"/>
      <c r="E6" s="138"/>
      <c r="F6" s="135"/>
      <c r="G6" s="139" t="s">
        <v>2790</v>
      </c>
      <c r="H6" s="141">
        <f>'Plano de Auditoria'!N6</f>
        <v>0</v>
      </c>
    </row>
    <row r="7" ht="14.25" customHeight="1"/>
    <row r="8" ht="33.75" customHeight="1">
      <c r="A8" s="9" t="s">
        <v>2791</v>
      </c>
      <c r="B8" s="9" t="s">
        <v>2792</v>
      </c>
      <c r="C8" s="9" t="s">
        <v>19</v>
      </c>
      <c r="D8" s="9" t="s">
        <v>2774</v>
      </c>
      <c r="E8" s="9" t="s">
        <v>2778</v>
      </c>
      <c r="F8" s="9" t="s">
        <v>2779</v>
      </c>
      <c r="G8" s="9" t="s">
        <v>2781</v>
      </c>
      <c r="H8" s="9" t="s">
        <v>2780</v>
      </c>
    </row>
    <row r="9" ht="37.5" customHeight="1">
      <c r="A9" s="10">
        <v>1.0</v>
      </c>
      <c r="B9" s="10" t="s">
        <v>2270</v>
      </c>
      <c r="C9" s="142" t="str">
        <f>'Auditoria Documental'!K48</f>
        <v>Não avaliado</v>
      </c>
      <c r="D9" s="10" t="str">
        <f>IF('Auditoria Documental'!L48="","",'Auditoria Documental'!L48)</f>
        <v/>
      </c>
      <c r="E9" s="10" t="str">
        <f>IF('Auditoria Documental'!P48="","",'Auditoria Documental'!P48)</f>
        <v/>
      </c>
      <c r="F9" s="10" t="str">
        <f>'Auditoria Documental'!Q48</f>
        <v>Não</v>
      </c>
      <c r="G9" s="10" t="str">
        <f>IF('Auditoria Documental'!S48="","",'Auditoria Documental'!S48)</f>
        <v/>
      </c>
      <c r="H9" s="143" t="str">
        <f>IF('Auditoria Documental'!R48="","",'Auditoria Documental'!R48)</f>
        <v/>
      </c>
    </row>
    <row r="10" ht="37.5" customHeight="1">
      <c r="A10" s="11">
        <v>2.0</v>
      </c>
      <c r="B10" s="11" t="s">
        <v>2491</v>
      </c>
      <c r="C10" s="144" t="str">
        <f>'Auditoria Documental'!K49</f>
        <v>Não avaliado</v>
      </c>
      <c r="D10" s="11" t="str">
        <f>IF('Auditoria Documental'!L49="","",'Auditoria Documental'!L49)</f>
        <v/>
      </c>
      <c r="E10" s="11" t="str">
        <f>IF('Auditoria Documental'!P49="","",'Auditoria Documental'!P49)</f>
        <v/>
      </c>
      <c r="F10" s="11" t="str">
        <f>'Auditoria Documental'!Q49</f>
        <v>Não</v>
      </c>
      <c r="G10" s="11" t="str">
        <f>IF('Auditoria Documental'!S49="","",'Auditoria Documental'!S49)</f>
        <v/>
      </c>
      <c r="H10" s="145" t="str">
        <f>IF('Auditoria Documental'!R49="","",'Auditoria Documental'!R49)</f>
        <v/>
      </c>
    </row>
    <row r="11" ht="37.5" customHeight="1">
      <c r="A11" s="11">
        <v>3.0</v>
      </c>
      <c r="B11" s="11" t="s">
        <v>2494</v>
      </c>
      <c r="C11" s="144" t="str">
        <f>'Auditoria Documental'!K50</f>
        <v>Não avaliado</v>
      </c>
      <c r="D11" s="11" t="str">
        <f>IF('Auditoria Documental'!L50="","",'Auditoria Documental'!L50)</f>
        <v/>
      </c>
      <c r="E11" s="11" t="str">
        <f>IF('Auditoria Documental'!P50="","",'Auditoria Documental'!P50)</f>
        <v/>
      </c>
      <c r="F11" s="11" t="str">
        <f>'Auditoria Documental'!Q50</f>
        <v>Não</v>
      </c>
      <c r="G11" s="11" t="str">
        <f>IF('Auditoria Documental'!S50="","",'Auditoria Documental'!S50)</f>
        <v/>
      </c>
      <c r="H11" s="145" t="str">
        <f>IF('Auditoria Documental'!R50="","",'Auditoria Documental'!R50)</f>
        <v/>
      </c>
    </row>
    <row r="12" ht="37.5" customHeight="1">
      <c r="A12" s="11">
        <v>4.0</v>
      </c>
      <c r="B12" s="11" t="s">
        <v>2497</v>
      </c>
      <c r="C12" s="144" t="str">
        <f>'Auditoria Documental'!K51</f>
        <v>Não avaliado</v>
      </c>
      <c r="D12" s="11" t="str">
        <f>IF('Auditoria Documental'!L51="","",'Auditoria Documental'!L51)</f>
        <v/>
      </c>
      <c r="E12" s="11" t="str">
        <f>IF('Auditoria Documental'!P51="","",'Auditoria Documental'!P51)</f>
        <v/>
      </c>
      <c r="F12" s="11" t="str">
        <f>'Auditoria Documental'!Q51</f>
        <v>Não</v>
      </c>
      <c r="G12" s="11" t="str">
        <f>IF('Auditoria Documental'!S51="","",'Auditoria Documental'!S51)</f>
        <v/>
      </c>
      <c r="H12" s="145" t="str">
        <f>IF('Auditoria Documental'!R51="","",'Auditoria Documental'!R51)</f>
        <v/>
      </c>
    </row>
    <row r="13" ht="37.5" customHeight="1">
      <c r="A13" s="11">
        <v>5.0</v>
      </c>
      <c r="B13" s="11" t="s">
        <v>2501</v>
      </c>
      <c r="C13" s="144" t="str">
        <f>'Auditoria Documental'!K52</f>
        <v>Não avaliado</v>
      </c>
      <c r="D13" s="11" t="str">
        <f>IF('Auditoria Documental'!L52="","",'Auditoria Documental'!L52)</f>
        <v/>
      </c>
      <c r="E13" s="11" t="str">
        <f>IF('Auditoria Documental'!P52="","",'Auditoria Documental'!P52)</f>
        <v/>
      </c>
      <c r="F13" s="11" t="str">
        <f>'Auditoria Documental'!Q52</f>
        <v>Não</v>
      </c>
      <c r="G13" s="11" t="str">
        <f>IF('Auditoria Documental'!S52="","",'Auditoria Documental'!S52)</f>
        <v/>
      </c>
      <c r="H13" s="145" t="str">
        <f>IF('Auditoria Documental'!R52="","",'Auditoria Documental'!R52)</f>
        <v/>
      </c>
    </row>
    <row r="14" ht="37.5" customHeight="1">
      <c r="A14" s="11">
        <v>6.0</v>
      </c>
      <c r="B14" s="11" t="s">
        <v>2506</v>
      </c>
      <c r="C14" s="144" t="str">
        <f>'Auditoria Documental'!K53</f>
        <v>Não avaliado</v>
      </c>
      <c r="D14" s="11" t="str">
        <f>IF('Auditoria Documental'!L53="","",'Auditoria Documental'!L53)</f>
        <v/>
      </c>
      <c r="E14" s="11" t="str">
        <f>IF('Auditoria Documental'!P53="","",'Auditoria Documental'!P53)</f>
        <v/>
      </c>
      <c r="F14" s="11" t="str">
        <f>'Auditoria Documental'!Q53</f>
        <v>Não</v>
      </c>
      <c r="G14" s="11" t="str">
        <f>IF('Auditoria Documental'!S53="","",'Auditoria Documental'!S53)</f>
        <v/>
      </c>
      <c r="H14" s="145" t="str">
        <f>IF('Auditoria Documental'!R53="","",'Auditoria Documental'!R53)</f>
        <v/>
      </c>
    </row>
    <row r="15" ht="37.5" customHeight="1">
      <c r="A15" s="11">
        <v>7.0</v>
      </c>
      <c r="B15" s="11" t="s">
        <v>2510</v>
      </c>
      <c r="C15" s="144" t="str">
        <f>'Auditoria Documental'!K54</f>
        <v>Não avaliado</v>
      </c>
      <c r="D15" s="11" t="str">
        <f>IF('Auditoria Documental'!L54="","",'Auditoria Documental'!L54)</f>
        <v/>
      </c>
      <c r="E15" s="11" t="str">
        <f>IF('Auditoria Documental'!P54="","",'Auditoria Documental'!P54)</f>
        <v/>
      </c>
      <c r="F15" s="11" t="str">
        <f>'Auditoria Documental'!Q54</f>
        <v>Não</v>
      </c>
      <c r="G15" s="11" t="str">
        <f>IF('Auditoria Documental'!S54="","",'Auditoria Documental'!S54)</f>
        <v/>
      </c>
      <c r="H15" s="145" t="str">
        <f>IF('Auditoria Documental'!R54="","",'Auditoria Documental'!R54)</f>
        <v/>
      </c>
    </row>
    <row r="16" ht="37.5" customHeight="1">
      <c r="A16" s="11">
        <v>8.0</v>
      </c>
      <c r="B16" s="11" t="s">
        <v>2514</v>
      </c>
      <c r="C16" s="144" t="str">
        <f>'Auditoria Documental'!K55</f>
        <v>Não avaliado</v>
      </c>
      <c r="D16" s="11" t="str">
        <f>IF('Auditoria Documental'!L55="","",'Auditoria Documental'!L55)</f>
        <v/>
      </c>
      <c r="E16" s="11" t="str">
        <f>IF('Auditoria Documental'!P55="","",'Auditoria Documental'!P55)</f>
        <v/>
      </c>
      <c r="F16" s="11" t="str">
        <f>'Auditoria Documental'!Q55</f>
        <v>Não</v>
      </c>
      <c r="G16" s="11" t="str">
        <f>IF('Auditoria Documental'!S55="","",'Auditoria Documental'!S55)</f>
        <v/>
      </c>
      <c r="H16" s="145" t="str">
        <f>IF('Auditoria Documental'!R55="","",'Auditoria Documental'!R55)</f>
        <v/>
      </c>
    </row>
    <row r="17" ht="37.5" customHeight="1">
      <c r="A17" s="11">
        <v>9.0</v>
      </c>
      <c r="B17" s="11" t="s">
        <v>2518</v>
      </c>
      <c r="C17" s="144" t="str">
        <f>'Auditoria Documental'!K56</f>
        <v>Não avaliado</v>
      </c>
      <c r="D17" s="11" t="str">
        <f>IF('Auditoria Documental'!L56="","",'Auditoria Documental'!L56)</f>
        <v/>
      </c>
      <c r="E17" s="11" t="str">
        <f>IF('Auditoria Documental'!P56="","",'Auditoria Documental'!P56)</f>
        <v/>
      </c>
      <c r="F17" s="11" t="str">
        <f>'Auditoria Documental'!Q56</f>
        <v>Não</v>
      </c>
      <c r="G17" s="11" t="str">
        <f>IF('Auditoria Documental'!S56="","",'Auditoria Documental'!S56)</f>
        <v/>
      </c>
      <c r="H17" s="145" t="str">
        <f>IF('Auditoria Documental'!R56="","",'Auditoria Documental'!R56)</f>
        <v/>
      </c>
    </row>
    <row r="18" ht="37.5" customHeight="1">
      <c r="A18" s="11">
        <v>10.0</v>
      </c>
      <c r="B18" s="11" t="s">
        <v>2522</v>
      </c>
      <c r="C18" s="144" t="str">
        <f>'Auditoria Documental'!K57</f>
        <v>Não avaliado</v>
      </c>
      <c r="D18" s="11" t="str">
        <f>IF('Auditoria Documental'!L57="","",'Auditoria Documental'!L57)</f>
        <v/>
      </c>
      <c r="E18" s="11" t="str">
        <f>IF('Auditoria Documental'!P57="","",'Auditoria Documental'!P57)</f>
        <v/>
      </c>
      <c r="F18" s="11" t="str">
        <f>'Auditoria Documental'!Q57</f>
        <v>Não</v>
      </c>
      <c r="G18" s="11" t="str">
        <f>IF('Auditoria Documental'!S57="","",'Auditoria Documental'!S57)</f>
        <v/>
      </c>
      <c r="H18" s="145" t="str">
        <f>IF('Auditoria Documental'!R57="","",'Auditoria Documental'!R57)</f>
        <v/>
      </c>
    </row>
    <row r="19" ht="37.5" customHeight="1">
      <c r="A19" s="11">
        <v>11.0</v>
      </c>
      <c r="B19" s="11" t="s">
        <v>2526</v>
      </c>
      <c r="C19" s="144" t="str">
        <f>'Auditoria Documental'!K58</f>
        <v>Não avaliado</v>
      </c>
      <c r="D19" s="11" t="str">
        <f>IF('Auditoria Documental'!L58="","",'Auditoria Documental'!L58)</f>
        <v/>
      </c>
      <c r="E19" s="11" t="str">
        <f>IF('Auditoria Documental'!P58="","",'Auditoria Documental'!P58)</f>
        <v/>
      </c>
      <c r="F19" s="11" t="str">
        <f>'Auditoria Documental'!Q58</f>
        <v>Não</v>
      </c>
      <c r="G19" s="11" t="str">
        <f>IF('Auditoria Documental'!S58="","",'Auditoria Documental'!S58)</f>
        <v/>
      </c>
      <c r="H19" s="145" t="str">
        <f>IF('Auditoria Documental'!R58="","",'Auditoria Documental'!R58)</f>
        <v/>
      </c>
    </row>
    <row r="20" ht="37.5" customHeight="1">
      <c r="A20" s="12">
        <v>12.0</v>
      </c>
      <c r="B20" s="12" t="s">
        <v>2530</v>
      </c>
      <c r="C20" s="146" t="str">
        <f>'Auditoria Documental'!K59</f>
        <v>Não avaliado</v>
      </c>
      <c r="D20" s="12" t="str">
        <f>IF('Auditoria Documental'!L59="","",'Auditoria Documental'!L59)</f>
        <v/>
      </c>
      <c r="E20" s="12" t="str">
        <f>IF('Auditoria Documental'!P59="","",'Auditoria Documental'!P59)</f>
        <v/>
      </c>
      <c r="F20" s="12" t="str">
        <f>'Auditoria Documental'!Q59</f>
        <v>Não</v>
      </c>
      <c r="G20" s="12" t="str">
        <f>IF('Auditoria Documental'!S59="","",'Auditoria Documental'!S59)</f>
        <v/>
      </c>
      <c r="H20" s="147" t="str">
        <f>IF('Auditoria Documental'!R59="","",'Auditoria Documental'!R59)</f>
        <v/>
      </c>
    </row>
    <row r="21" ht="14.25" customHeight="1"/>
    <row r="22" ht="37.5" customHeight="1">
      <c r="A22" s="97" t="s">
        <v>2793</v>
      </c>
      <c r="B22" s="98"/>
      <c r="C22" s="98"/>
      <c r="D22" s="98"/>
      <c r="E22" s="98"/>
      <c r="F22" s="98"/>
      <c r="G22" s="98"/>
      <c r="H22" s="99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A5:B5"/>
    <mergeCell ref="A6:B6"/>
    <mergeCell ref="C6:F6"/>
    <mergeCell ref="A22:H22"/>
    <mergeCell ref="A1:H1"/>
    <mergeCell ref="A2:H2"/>
    <mergeCell ref="A4:B4"/>
    <mergeCell ref="C4:D4"/>
    <mergeCell ref="E4:F4"/>
    <mergeCell ref="G4:H4"/>
    <mergeCell ref="C5:F5"/>
  </mergeCells>
  <conditionalFormatting sqref="C9:C20">
    <cfRule type="expression" dxfId="0" priority="1">
      <formula>C9="Conforme"</formula>
    </cfRule>
  </conditionalFormatting>
  <conditionalFormatting sqref="C9:C20">
    <cfRule type="expression" dxfId="1" priority="2">
      <formula>C9="Parcialmente conforme"</formula>
    </cfRule>
  </conditionalFormatting>
  <conditionalFormatting sqref="C9:C20">
    <cfRule type="expression" dxfId="2" priority="3">
      <formula>C9="Não conforme"</formula>
    </cfRule>
  </conditionalFormatting>
  <conditionalFormatting sqref="C9:C20">
    <cfRule type="expression" dxfId="3" priority="4">
      <formula>C9="Não se aplica"</formula>
    </cfRule>
  </conditionalFormatting>
  <conditionalFormatting sqref="C9:C20">
    <cfRule type="expression" dxfId="4" priority="5">
      <formula>C9="Não avaliado"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0"/>
    <col customWidth="1" min="2" max="2" width="14.0"/>
    <col customWidth="1" min="3" max="3" width="45.0"/>
    <col customWidth="1" min="4" max="4" width="13.0"/>
    <col customWidth="1" min="5" max="5" width="45.0"/>
    <col customWidth="1" min="6" max="6" width="48.0"/>
    <col customWidth="1" min="7" max="7" width="12.0"/>
    <col customWidth="1" min="8" max="8" width="25.0"/>
    <col customWidth="1" min="9" max="10" width="15.0"/>
    <col customWidth="1" min="11" max="11" width="13.0"/>
    <col customWidth="1" min="12" max="12" width="18.0"/>
    <col customWidth="1" min="13" max="13" width="40.0"/>
    <col customWidth="1" min="14" max="14" width="16.0"/>
    <col customWidth="1" min="15" max="15" width="18.0"/>
    <col customWidth="1" min="16" max="26" width="8.63"/>
  </cols>
  <sheetData>
    <row r="1" ht="33.75" customHeight="1">
      <c r="A1" s="1" t="s">
        <v>2794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30.0" customHeight="1">
      <c r="A2" s="4" t="s">
        <v>2795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ht="3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37.5" customHeight="1">
      <c r="A4" s="97" t="s">
        <v>2796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9"/>
    </row>
    <row r="5" ht="14.25" customHeight="1"/>
    <row r="6" ht="33.75" customHeight="1">
      <c r="A6" s="27" t="s">
        <v>2797</v>
      </c>
      <c r="B6" s="27" t="s">
        <v>2535</v>
      </c>
      <c r="C6" s="27" t="s">
        <v>2536</v>
      </c>
      <c r="D6" s="27" t="s">
        <v>2798</v>
      </c>
      <c r="E6" s="27" t="s">
        <v>2799</v>
      </c>
      <c r="F6" s="27" t="s">
        <v>2800</v>
      </c>
      <c r="G6" s="27" t="s">
        <v>2538</v>
      </c>
      <c r="H6" s="27" t="s">
        <v>2781</v>
      </c>
      <c r="I6" s="27" t="s">
        <v>2801</v>
      </c>
      <c r="J6" s="27" t="s">
        <v>2780</v>
      </c>
      <c r="K6" s="27" t="s">
        <v>2802</v>
      </c>
      <c r="L6" s="27" t="s">
        <v>19</v>
      </c>
      <c r="M6" s="27" t="s">
        <v>2803</v>
      </c>
      <c r="N6" s="27" t="s">
        <v>2804</v>
      </c>
      <c r="O6" s="27" t="s">
        <v>2805</v>
      </c>
    </row>
    <row r="7" ht="14.25" customHeight="1">
      <c r="A7" s="100"/>
      <c r="B7" s="107"/>
      <c r="C7" s="107"/>
      <c r="D7" s="100"/>
      <c r="E7" s="100"/>
      <c r="F7" s="100"/>
      <c r="G7" s="100"/>
      <c r="H7" s="100"/>
      <c r="I7" s="108"/>
      <c r="J7" s="108"/>
      <c r="K7" s="101" t="str">
        <f t="shared" ref="K7:K506" si="1">IF(J7="","",J7-TODAY())</f>
        <v/>
      </c>
      <c r="L7" s="100"/>
      <c r="M7" s="100"/>
      <c r="N7" s="108"/>
      <c r="O7" s="100"/>
    </row>
    <row r="8" ht="14.25" customHeight="1">
      <c r="A8" s="102"/>
      <c r="B8" s="102"/>
      <c r="C8" s="102"/>
      <c r="D8" s="102"/>
      <c r="E8" s="102"/>
      <c r="F8" s="102"/>
      <c r="G8" s="102"/>
      <c r="H8" s="102"/>
      <c r="I8" s="112"/>
      <c r="J8" s="112"/>
      <c r="K8" s="103" t="str">
        <f t="shared" si="1"/>
        <v/>
      </c>
      <c r="L8" s="102"/>
      <c r="M8" s="102"/>
      <c r="N8" s="112"/>
      <c r="O8" s="102"/>
    </row>
    <row r="9" ht="14.25" customHeight="1">
      <c r="A9" s="102"/>
      <c r="B9" s="102"/>
      <c r="C9" s="102"/>
      <c r="D9" s="102"/>
      <c r="E9" s="102"/>
      <c r="F9" s="102"/>
      <c r="G9" s="102"/>
      <c r="H9" s="102"/>
      <c r="I9" s="112"/>
      <c r="J9" s="112"/>
      <c r="K9" s="103" t="str">
        <f t="shared" si="1"/>
        <v/>
      </c>
      <c r="L9" s="102"/>
      <c r="M9" s="102"/>
      <c r="N9" s="112"/>
      <c r="O9" s="102"/>
    </row>
    <row r="10" ht="14.25" customHeight="1">
      <c r="A10" s="102"/>
      <c r="B10" s="102"/>
      <c r="C10" s="102"/>
      <c r="D10" s="102"/>
      <c r="E10" s="102"/>
      <c r="F10" s="102"/>
      <c r="G10" s="102"/>
      <c r="H10" s="102"/>
      <c r="I10" s="112"/>
      <c r="J10" s="112"/>
      <c r="K10" s="103" t="str">
        <f t="shared" si="1"/>
        <v/>
      </c>
      <c r="L10" s="102"/>
      <c r="M10" s="102"/>
      <c r="N10" s="112"/>
      <c r="O10" s="102"/>
    </row>
    <row r="11" ht="14.25" customHeight="1">
      <c r="A11" s="102"/>
      <c r="B11" s="102"/>
      <c r="C11" s="102"/>
      <c r="D11" s="102"/>
      <c r="E11" s="102"/>
      <c r="F11" s="102"/>
      <c r="G11" s="102"/>
      <c r="H11" s="102"/>
      <c r="I11" s="112"/>
      <c r="J11" s="112"/>
      <c r="K11" s="103" t="str">
        <f t="shared" si="1"/>
        <v/>
      </c>
      <c r="L11" s="102"/>
      <c r="M11" s="102"/>
      <c r="N11" s="112"/>
      <c r="O11" s="102"/>
    </row>
    <row r="12" ht="14.25" customHeight="1">
      <c r="A12" s="102"/>
      <c r="B12" s="102"/>
      <c r="C12" s="102"/>
      <c r="D12" s="102"/>
      <c r="E12" s="102"/>
      <c r="F12" s="102"/>
      <c r="G12" s="102"/>
      <c r="H12" s="102"/>
      <c r="I12" s="112"/>
      <c r="J12" s="112"/>
      <c r="K12" s="103" t="str">
        <f t="shared" si="1"/>
        <v/>
      </c>
      <c r="L12" s="102"/>
      <c r="M12" s="102"/>
      <c r="N12" s="112"/>
      <c r="O12" s="102"/>
    </row>
    <row r="13" ht="14.25" customHeight="1">
      <c r="A13" s="102"/>
      <c r="B13" s="102"/>
      <c r="C13" s="102"/>
      <c r="D13" s="102"/>
      <c r="E13" s="102"/>
      <c r="F13" s="102"/>
      <c r="G13" s="102"/>
      <c r="H13" s="102"/>
      <c r="I13" s="112"/>
      <c r="J13" s="112"/>
      <c r="K13" s="103" t="str">
        <f t="shared" si="1"/>
        <v/>
      </c>
      <c r="L13" s="102"/>
      <c r="M13" s="102"/>
      <c r="N13" s="112"/>
      <c r="O13" s="102"/>
    </row>
    <row r="14" ht="14.25" customHeight="1">
      <c r="A14" s="102"/>
      <c r="B14" s="102"/>
      <c r="C14" s="102"/>
      <c r="D14" s="102"/>
      <c r="E14" s="102"/>
      <c r="F14" s="102"/>
      <c r="G14" s="102"/>
      <c r="H14" s="102"/>
      <c r="I14" s="112"/>
      <c r="J14" s="112"/>
      <c r="K14" s="103" t="str">
        <f t="shared" si="1"/>
        <v/>
      </c>
      <c r="L14" s="102"/>
      <c r="M14" s="102"/>
      <c r="N14" s="112"/>
      <c r="O14" s="102"/>
    </row>
    <row r="15" ht="14.25" customHeight="1">
      <c r="A15" s="102"/>
      <c r="B15" s="102"/>
      <c r="C15" s="102"/>
      <c r="D15" s="102"/>
      <c r="E15" s="102"/>
      <c r="F15" s="102"/>
      <c r="G15" s="102"/>
      <c r="H15" s="102"/>
      <c r="I15" s="112"/>
      <c r="J15" s="112"/>
      <c r="K15" s="103" t="str">
        <f t="shared" si="1"/>
        <v/>
      </c>
      <c r="L15" s="102"/>
      <c r="M15" s="102"/>
      <c r="N15" s="112"/>
      <c r="O15" s="102"/>
    </row>
    <row r="16" ht="14.25" customHeight="1">
      <c r="A16" s="102"/>
      <c r="B16" s="102"/>
      <c r="C16" s="102"/>
      <c r="D16" s="102"/>
      <c r="E16" s="102"/>
      <c r="F16" s="102"/>
      <c r="G16" s="102"/>
      <c r="H16" s="102"/>
      <c r="I16" s="112"/>
      <c r="J16" s="112"/>
      <c r="K16" s="103" t="str">
        <f t="shared" si="1"/>
        <v/>
      </c>
      <c r="L16" s="102"/>
      <c r="M16" s="102"/>
      <c r="N16" s="112"/>
      <c r="O16" s="102"/>
    </row>
    <row r="17" ht="14.25" customHeight="1">
      <c r="A17" s="102"/>
      <c r="B17" s="102"/>
      <c r="C17" s="102"/>
      <c r="D17" s="102"/>
      <c r="E17" s="102"/>
      <c r="F17" s="102"/>
      <c r="G17" s="102"/>
      <c r="H17" s="102"/>
      <c r="I17" s="112"/>
      <c r="J17" s="112"/>
      <c r="K17" s="103" t="str">
        <f t="shared" si="1"/>
        <v/>
      </c>
      <c r="L17" s="102"/>
      <c r="M17" s="102"/>
      <c r="N17" s="112"/>
      <c r="O17" s="102"/>
    </row>
    <row r="18" ht="14.25" customHeight="1">
      <c r="A18" s="102"/>
      <c r="B18" s="102"/>
      <c r="C18" s="102"/>
      <c r="D18" s="102"/>
      <c r="E18" s="102"/>
      <c r="F18" s="102"/>
      <c r="G18" s="102"/>
      <c r="H18" s="102"/>
      <c r="I18" s="112"/>
      <c r="J18" s="112"/>
      <c r="K18" s="103" t="str">
        <f t="shared" si="1"/>
        <v/>
      </c>
      <c r="L18" s="102"/>
      <c r="M18" s="102"/>
      <c r="N18" s="112"/>
      <c r="O18" s="102"/>
    </row>
    <row r="19" ht="14.25" customHeight="1">
      <c r="A19" s="102"/>
      <c r="B19" s="102"/>
      <c r="C19" s="102"/>
      <c r="D19" s="102"/>
      <c r="E19" s="102"/>
      <c r="F19" s="102"/>
      <c r="G19" s="102"/>
      <c r="H19" s="102"/>
      <c r="I19" s="112"/>
      <c r="J19" s="112"/>
      <c r="K19" s="103" t="str">
        <f t="shared" si="1"/>
        <v/>
      </c>
      <c r="L19" s="102"/>
      <c r="M19" s="102"/>
      <c r="N19" s="112"/>
      <c r="O19" s="102"/>
    </row>
    <row r="20" ht="14.25" customHeight="1">
      <c r="A20" s="102"/>
      <c r="B20" s="102"/>
      <c r="C20" s="102"/>
      <c r="D20" s="102"/>
      <c r="E20" s="102"/>
      <c r="F20" s="102"/>
      <c r="G20" s="102"/>
      <c r="H20" s="102"/>
      <c r="I20" s="112"/>
      <c r="J20" s="112"/>
      <c r="K20" s="103" t="str">
        <f t="shared" si="1"/>
        <v/>
      </c>
      <c r="L20" s="102"/>
      <c r="M20" s="102"/>
      <c r="N20" s="112"/>
      <c r="O20" s="102"/>
    </row>
    <row r="21" ht="14.25" customHeight="1">
      <c r="A21" s="102"/>
      <c r="B21" s="102"/>
      <c r="C21" s="102"/>
      <c r="D21" s="102"/>
      <c r="E21" s="102"/>
      <c r="F21" s="102"/>
      <c r="G21" s="102"/>
      <c r="H21" s="102"/>
      <c r="I21" s="112"/>
      <c r="J21" s="112"/>
      <c r="K21" s="103" t="str">
        <f t="shared" si="1"/>
        <v/>
      </c>
      <c r="L21" s="102"/>
      <c r="M21" s="102"/>
      <c r="N21" s="112"/>
      <c r="O21" s="102"/>
    </row>
    <row r="22" ht="14.25" customHeight="1">
      <c r="A22" s="102"/>
      <c r="B22" s="102"/>
      <c r="C22" s="102"/>
      <c r="D22" s="102"/>
      <c r="E22" s="102"/>
      <c r="F22" s="102"/>
      <c r="G22" s="102"/>
      <c r="H22" s="102"/>
      <c r="I22" s="112"/>
      <c r="J22" s="112"/>
      <c r="K22" s="103" t="str">
        <f t="shared" si="1"/>
        <v/>
      </c>
      <c r="L22" s="102"/>
      <c r="M22" s="102"/>
      <c r="N22" s="112"/>
      <c r="O22" s="102"/>
    </row>
    <row r="23" ht="14.25" customHeight="1">
      <c r="A23" s="102"/>
      <c r="B23" s="102"/>
      <c r="C23" s="102"/>
      <c r="D23" s="102"/>
      <c r="E23" s="102"/>
      <c r="F23" s="102"/>
      <c r="G23" s="102"/>
      <c r="H23" s="102"/>
      <c r="I23" s="112"/>
      <c r="J23" s="112"/>
      <c r="K23" s="103" t="str">
        <f t="shared" si="1"/>
        <v/>
      </c>
      <c r="L23" s="102"/>
      <c r="M23" s="102"/>
      <c r="N23" s="112"/>
      <c r="O23" s="102"/>
    </row>
    <row r="24" ht="14.25" customHeight="1">
      <c r="A24" s="102"/>
      <c r="B24" s="102"/>
      <c r="C24" s="102"/>
      <c r="D24" s="102"/>
      <c r="E24" s="102"/>
      <c r="F24" s="102"/>
      <c r="G24" s="102"/>
      <c r="H24" s="102"/>
      <c r="I24" s="112"/>
      <c r="J24" s="112"/>
      <c r="K24" s="103" t="str">
        <f t="shared" si="1"/>
        <v/>
      </c>
      <c r="L24" s="102"/>
      <c r="M24" s="102"/>
      <c r="N24" s="112"/>
      <c r="O24" s="102"/>
    </row>
    <row r="25" ht="14.25" customHeight="1">
      <c r="A25" s="102"/>
      <c r="B25" s="102"/>
      <c r="C25" s="102"/>
      <c r="D25" s="102"/>
      <c r="E25" s="102"/>
      <c r="F25" s="102"/>
      <c r="G25" s="102"/>
      <c r="H25" s="102"/>
      <c r="I25" s="112"/>
      <c r="J25" s="112"/>
      <c r="K25" s="103" t="str">
        <f t="shared" si="1"/>
        <v/>
      </c>
      <c r="L25" s="102"/>
      <c r="M25" s="102"/>
      <c r="N25" s="112"/>
      <c r="O25" s="102"/>
    </row>
    <row r="26" ht="14.25" customHeight="1">
      <c r="A26" s="102"/>
      <c r="B26" s="102"/>
      <c r="C26" s="102"/>
      <c r="D26" s="102"/>
      <c r="E26" s="102"/>
      <c r="F26" s="102"/>
      <c r="G26" s="102"/>
      <c r="H26" s="102"/>
      <c r="I26" s="112"/>
      <c r="J26" s="112"/>
      <c r="K26" s="103" t="str">
        <f t="shared" si="1"/>
        <v/>
      </c>
      <c r="L26" s="102"/>
      <c r="M26" s="102"/>
      <c r="N26" s="112"/>
      <c r="O26" s="102"/>
    </row>
    <row r="27" ht="14.25" customHeight="1">
      <c r="A27" s="102"/>
      <c r="B27" s="102"/>
      <c r="C27" s="102"/>
      <c r="D27" s="102"/>
      <c r="E27" s="102"/>
      <c r="F27" s="102"/>
      <c r="G27" s="102"/>
      <c r="H27" s="102"/>
      <c r="I27" s="112"/>
      <c r="J27" s="112"/>
      <c r="K27" s="103" t="str">
        <f t="shared" si="1"/>
        <v/>
      </c>
      <c r="L27" s="102"/>
      <c r="M27" s="102"/>
      <c r="N27" s="112"/>
      <c r="O27" s="102"/>
    </row>
    <row r="28" ht="14.25" customHeight="1">
      <c r="A28" s="102"/>
      <c r="B28" s="102"/>
      <c r="C28" s="102"/>
      <c r="D28" s="102"/>
      <c r="E28" s="102"/>
      <c r="F28" s="102"/>
      <c r="G28" s="102"/>
      <c r="H28" s="102"/>
      <c r="I28" s="112"/>
      <c r="J28" s="112"/>
      <c r="K28" s="103" t="str">
        <f t="shared" si="1"/>
        <v/>
      </c>
      <c r="L28" s="102"/>
      <c r="M28" s="102"/>
      <c r="N28" s="112"/>
      <c r="O28" s="102"/>
    </row>
    <row r="29" ht="14.25" customHeight="1">
      <c r="A29" s="102"/>
      <c r="B29" s="102"/>
      <c r="C29" s="102"/>
      <c r="D29" s="102"/>
      <c r="E29" s="102"/>
      <c r="F29" s="102"/>
      <c r="G29" s="102"/>
      <c r="H29" s="102"/>
      <c r="I29" s="112"/>
      <c r="J29" s="112"/>
      <c r="K29" s="103" t="str">
        <f t="shared" si="1"/>
        <v/>
      </c>
      <c r="L29" s="102"/>
      <c r="M29" s="102"/>
      <c r="N29" s="112"/>
      <c r="O29" s="102"/>
    </row>
    <row r="30" ht="14.25" customHeight="1">
      <c r="A30" s="102"/>
      <c r="B30" s="102"/>
      <c r="C30" s="102"/>
      <c r="D30" s="102"/>
      <c r="E30" s="102"/>
      <c r="F30" s="102"/>
      <c r="G30" s="102"/>
      <c r="H30" s="102"/>
      <c r="I30" s="112"/>
      <c r="J30" s="112"/>
      <c r="K30" s="103" t="str">
        <f t="shared" si="1"/>
        <v/>
      </c>
      <c r="L30" s="102"/>
      <c r="M30" s="102"/>
      <c r="N30" s="112"/>
      <c r="O30" s="102"/>
    </row>
    <row r="31" ht="14.25" customHeight="1">
      <c r="A31" s="102"/>
      <c r="B31" s="102"/>
      <c r="C31" s="102"/>
      <c r="D31" s="102"/>
      <c r="E31" s="102"/>
      <c r="F31" s="102"/>
      <c r="G31" s="102"/>
      <c r="H31" s="102"/>
      <c r="I31" s="112"/>
      <c r="J31" s="112"/>
      <c r="K31" s="103" t="str">
        <f t="shared" si="1"/>
        <v/>
      </c>
      <c r="L31" s="102"/>
      <c r="M31" s="102"/>
      <c r="N31" s="112"/>
      <c r="O31" s="102"/>
    </row>
    <row r="32" ht="14.25" customHeight="1">
      <c r="A32" s="102"/>
      <c r="B32" s="102"/>
      <c r="C32" s="102"/>
      <c r="D32" s="102"/>
      <c r="E32" s="102"/>
      <c r="F32" s="102"/>
      <c r="G32" s="102"/>
      <c r="H32" s="102"/>
      <c r="I32" s="112"/>
      <c r="J32" s="112"/>
      <c r="K32" s="103" t="str">
        <f t="shared" si="1"/>
        <v/>
      </c>
      <c r="L32" s="102"/>
      <c r="M32" s="102"/>
      <c r="N32" s="112"/>
      <c r="O32" s="102"/>
    </row>
    <row r="33" ht="14.25" customHeight="1">
      <c r="A33" s="102"/>
      <c r="B33" s="102"/>
      <c r="C33" s="102"/>
      <c r="D33" s="102"/>
      <c r="E33" s="102"/>
      <c r="F33" s="102"/>
      <c r="G33" s="102"/>
      <c r="H33" s="102"/>
      <c r="I33" s="112"/>
      <c r="J33" s="112"/>
      <c r="K33" s="103" t="str">
        <f t="shared" si="1"/>
        <v/>
      </c>
      <c r="L33" s="102"/>
      <c r="M33" s="102"/>
      <c r="N33" s="112"/>
      <c r="O33" s="102"/>
    </row>
    <row r="34" ht="14.25" customHeight="1">
      <c r="A34" s="102"/>
      <c r="B34" s="102"/>
      <c r="C34" s="102"/>
      <c r="D34" s="102"/>
      <c r="E34" s="102"/>
      <c r="F34" s="102"/>
      <c r="G34" s="102"/>
      <c r="H34" s="102"/>
      <c r="I34" s="112"/>
      <c r="J34" s="112"/>
      <c r="K34" s="103" t="str">
        <f t="shared" si="1"/>
        <v/>
      </c>
      <c r="L34" s="102"/>
      <c r="M34" s="102"/>
      <c r="N34" s="112"/>
      <c r="O34" s="102"/>
    </row>
    <row r="35" ht="14.25" customHeight="1">
      <c r="A35" s="102"/>
      <c r="B35" s="102"/>
      <c r="C35" s="102"/>
      <c r="D35" s="102"/>
      <c r="E35" s="102"/>
      <c r="F35" s="102"/>
      <c r="G35" s="102"/>
      <c r="H35" s="102"/>
      <c r="I35" s="112"/>
      <c r="J35" s="112"/>
      <c r="K35" s="103" t="str">
        <f t="shared" si="1"/>
        <v/>
      </c>
      <c r="L35" s="102"/>
      <c r="M35" s="102"/>
      <c r="N35" s="112"/>
      <c r="O35" s="102"/>
    </row>
    <row r="36" ht="14.25" customHeight="1">
      <c r="A36" s="102"/>
      <c r="B36" s="102"/>
      <c r="C36" s="102"/>
      <c r="D36" s="102"/>
      <c r="E36" s="102"/>
      <c r="F36" s="102"/>
      <c r="G36" s="102"/>
      <c r="H36" s="102"/>
      <c r="I36" s="112"/>
      <c r="J36" s="112"/>
      <c r="K36" s="103" t="str">
        <f t="shared" si="1"/>
        <v/>
      </c>
      <c r="L36" s="102"/>
      <c r="M36" s="102"/>
      <c r="N36" s="112"/>
      <c r="O36" s="102"/>
    </row>
    <row r="37" ht="14.25" customHeight="1">
      <c r="A37" s="102"/>
      <c r="B37" s="102"/>
      <c r="C37" s="102"/>
      <c r="D37" s="102"/>
      <c r="E37" s="102"/>
      <c r="F37" s="102"/>
      <c r="G37" s="102"/>
      <c r="H37" s="102"/>
      <c r="I37" s="112"/>
      <c r="J37" s="112"/>
      <c r="K37" s="103" t="str">
        <f t="shared" si="1"/>
        <v/>
      </c>
      <c r="L37" s="102"/>
      <c r="M37" s="102"/>
      <c r="N37" s="112"/>
      <c r="O37" s="102"/>
    </row>
    <row r="38" ht="14.25" customHeight="1">
      <c r="A38" s="102"/>
      <c r="B38" s="102"/>
      <c r="C38" s="102"/>
      <c r="D38" s="102"/>
      <c r="E38" s="102"/>
      <c r="F38" s="102"/>
      <c r="G38" s="102"/>
      <c r="H38" s="102"/>
      <c r="I38" s="112"/>
      <c r="J38" s="112"/>
      <c r="K38" s="103" t="str">
        <f t="shared" si="1"/>
        <v/>
      </c>
      <c r="L38" s="102"/>
      <c r="M38" s="102"/>
      <c r="N38" s="112"/>
      <c r="O38" s="102"/>
    </row>
    <row r="39" ht="14.25" customHeight="1">
      <c r="A39" s="102"/>
      <c r="B39" s="102"/>
      <c r="C39" s="102"/>
      <c r="D39" s="102"/>
      <c r="E39" s="102"/>
      <c r="F39" s="102"/>
      <c r="G39" s="102"/>
      <c r="H39" s="102"/>
      <c r="I39" s="112"/>
      <c r="J39" s="112"/>
      <c r="K39" s="103" t="str">
        <f t="shared" si="1"/>
        <v/>
      </c>
      <c r="L39" s="102"/>
      <c r="M39" s="102"/>
      <c r="N39" s="112"/>
      <c r="O39" s="102"/>
    </row>
    <row r="40" ht="14.25" customHeight="1">
      <c r="A40" s="102"/>
      <c r="B40" s="102"/>
      <c r="C40" s="102"/>
      <c r="D40" s="102"/>
      <c r="E40" s="102"/>
      <c r="F40" s="102"/>
      <c r="G40" s="102"/>
      <c r="H40" s="102"/>
      <c r="I40" s="112"/>
      <c r="J40" s="112"/>
      <c r="K40" s="103" t="str">
        <f t="shared" si="1"/>
        <v/>
      </c>
      <c r="L40" s="102"/>
      <c r="M40" s="102"/>
      <c r="N40" s="112"/>
      <c r="O40" s="102"/>
    </row>
    <row r="41" ht="14.25" customHeight="1">
      <c r="A41" s="102"/>
      <c r="B41" s="102"/>
      <c r="C41" s="102"/>
      <c r="D41" s="102"/>
      <c r="E41" s="102"/>
      <c r="F41" s="102"/>
      <c r="G41" s="102"/>
      <c r="H41" s="102"/>
      <c r="I41" s="112"/>
      <c r="J41" s="112"/>
      <c r="K41" s="103" t="str">
        <f t="shared" si="1"/>
        <v/>
      </c>
      <c r="L41" s="102"/>
      <c r="M41" s="102"/>
      <c r="N41" s="112"/>
      <c r="O41" s="102"/>
    </row>
    <row r="42" ht="14.25" customHeight="1">
      <c r="A42" s="102"/>
      <c r="B42" s="102"/>
      <c r="C42" s="102"/>
      <c r="D42" s="102"/>
      <c r="E42" s="102"/>
      <c r="F42" s="102"/>
      <c r="G42" s="102"/>
      <c r="H42" s="102"/>
      <c r="I42" s="112"/>
      <c r="J42" s="112"/>
      <c r="K42" s="103" t="str">
        <f t="shared" si="1"/>
        <v/>
      </c>
      <c r="L42" s="102"/>
      <c r="M42" s="102"/>
      <c r="N42" s="112"/>
      <c r="O42" s="102"/>
    </row>
    <row r="43" ht="14.25" customHeight="1">
      <c r="A43" s="102"/>
      <c r="B43" s="102"/>
      <c r="C43" s="102"/>
      <c r="D43" s="102"/>
      <c r="E43" s="102"/>
      <c r="F43" s="102"/>
      <c r="G43" s="102"/>
      <c r="H43" s="102"/>
      <c r="I43" s="112"/>
      <c r="J43" s="112"/>
      <c r="K43" s="103" t="str">
        <f t="shared" si="1"/>
        <v/>
      </c>
      <c r="L43" s="102"/>
      <c r="M43" s="102"/>
      <c r="N43" s="112"/>
      <c r="O43" s="102"/>
    </row>
    <row r="44" ht="14.25" customHeight="1">
      <c r="A44" s="102"/>
      <c r="B44" s="102"/>
      <c r="C44" s="102"/>
      <c r="D44" s="102"/>
      <c r="E44" s="102"/>
      <c r="F44" s="102"/>
      <c r="G44" s="102"/>
      <c r="H44" s="102"/>
      <c r="I44" s="112"/>
      <c r="J44" s="112"/>
      <c r="K44" s="103" t="str">
        <f t="shared" si="1"/>
        <v/>
      </c>
      <c r="L44" s="102"/>
      <c r="M44" s="102"/>
      <c r="N44" s="112"/>
      <c r="O44" s="102"/>
    </row>
    <row r="45" ht="14.25" customHeight="1">
      <c r="A45" s="102"/>
      <c r="B45" s="102"/>
      <c r="C45" s="102"/>
      <c r="D45" s="102"/>
      <c r="E45" s="102"/>
      <c r="F45" s="102"/>
      <c r="G45" s="102"/>
      <c r="H45" s="102"/>
      <c r="I45" s="112"/>
      <c r="J45" s="112"/>
      <c r="K45" s="103" t="str">
        <f t="shared" si="1"/>
        <v/>
      </c>
      <c r="L45" s="102"/>
      <c r="M45" s="102"/>
      <c r="N45" s="112"/>
      <c r="O45" s="102"/>
    </row>
    <row r="46" ht="14.25" customHeight="1">
      <c r="A46" s="102"/>
      <c r="B46" s="102"/>
      <c r="C46" s="102"/>
      <c r="D46" s="102"/>
      <c r="E46" s="102"/>
      <c r="F46" s="102"/>
      <c r="G46" s="102"/>
      <c r="H46" s="102"/>
      <c r="I46" s="112"/>
      <c r="J46" s="112"/>
      <c r="K46" s="103" t="str">
        <f t="shared" si="1"/>
        <v/>
      </c>
      <c r="L46" s="102"/>
      <c r="M46" s="102"/>
      <c r="N46" s="112"/>
      <c r="O46" s="102"/>
    </row>
    <row r="47" ht="14.25" customHeight="1">
      <c r="A47" s="102"/>
      <c r="B47" s="102"/>
      <c r="C47" s="102"/>
      <c r="D47" s="102"/>
      <c r="E47" s="102"/>
      <c r="F47" s="102"/>
      <c r="G47" s="102"/>
      <c r="H47" s="102"/>
      <c r="I47" s="112"/>
      <c r="J47" s="112"/>
      <c r="K47" s="103" t="str">
        <f t="shared" si="1"/>
        <v/>
      </c>
      <c r="L47" s="102"/>
      <c r="M47" s="102"/>
      <c r="N47" s="112"/>
      <c r="O47" s="102"/>
    </row>
    <row r="48" ht="14.25" customHeight="1">
      <c r="A48" s="102"/>
      <c r="B48" s="102"/>
      <c r="C48" s="102"/>
      <c r="D48" s="102"/>
      <c r="E48" s="102"/>
      <c r="F48" s="102"/>
      <c r="G48" s="102"/>
      <c r="H48" s="102"/>
      <c r="I48" s="112"/>
      <c r="J48" s="112"/>
      <c r="K48" s="103" t="str">
        <f t="shared" si="1"/>
        <v/>
      </c>
      <c r="L48" s="102"/>
      <c r="M48" s="102"/>
      <c r="N48" s="112"/>
      <c r="O48" s="102"/>
    </row>
    <row r="49" ht="14.25" customHeight="1">
      <c r="A49" s="102"/>
      <c r="B49" s="102"/>
      <c r="C49" s="102"/>
      <c r="D49" s="102"/>
      <c r="E49" s="102"/>
      <c r="F49" s="102"/>
      <c r="G49" s="102"/>
      <c r="H49" s="102"/>
      <c r="I49" s="112"/>
      <c r="J49" s="112"/>
      <c r="K49" s="103" t="str">
        <f t="shared" si="1"/>
        <v/>
      </c>
      <c r="L49" s="102"/>
      <c r="M49" s="102"/>
      <c r="N49" s="112"/>
      <c r="O49" s="102"/>
    </row>
    <row r="50" ht="14.25" customHeight="1">
      <c r="A50" s="102"/>
      <c r="B50" s="102"/>
      <c r="C50" s="102"/>
      <c r="D50" s="102"/>
      <c r="E50" s="102"/>
      <c r="F50" s="102"/>
      <c r="G50" s="102"/>
      <c r="H50" s="102"/>
      <c r="I50" s="112"/>
      <c r="J50" s="112"/>
      <c r="K50" s="103" t="str">
        <f t="shared" si="1"/>
        <v/>
      </c>
      <c r="L50" s="102"/>
      <c r="M50" s="102"/>
      <c r="N50" s="112"/>
      <c r="O50" s="102"/>
    </row>
    <row r="51" ht="14.25" customHeight="1">
      <c r="A51" s="102"/>
      <c r="B51" s="102"/>
      <c r="C51" s="102"/>
      <c r="D51" s="102"/>
      <c r="E51" s="102"/>
      <c r="F51" s="102"/>
      <c r="G51" s="102"/>
      <c r="H51" s="102"/>
      <c r="I51" s="112"/>
      <c r="J51" s="112"/>
      <c r="K51" s="103" t="str">
        <f t="shared" si="1"/>
        <v/>
      </c>
      <c r="L51" s="102"/>
      <c r="M51" s="102"/>
      <c r="N51" s="112"/>
      <c r="O51" s="102"/>
    </row>
    <row r="52" ht="14.25" customHeight="1">
      <c r="A52" s="102"/>
      <c r="B52" s="102"/>
      <c r="C52" s="102"/>
      <c r="D52" s="102"/>
      <c r="E52" s="102"/>
      <c r="F52" s="102"/>
      <c r="G52" s="102"/>
      <c r="H52" s="102"/>
      <c r="I52" s="112"/>
      <c r="J52" s="112"/>
      <c r="K52" s="103" t="str">
        <f t="shared" si="1"/>
        <v/>
      </c>
      <c r="L52" s="102"/>
      <c r="M52" s="102"/>
      <c r="N52" s="112"/>
      <c r="O52" s="102"/>
    </row>
    <row r="53" ht="14.25" customHeight="1">
      <c r="A53" s="102"/>
      <c r="B53" s="102"/>
      <c r="C53" s="102"/>
      <c r="D53" s="102"/>
      <c r="E53" s="102"/>
      <c r="F53" s="102"/>
      <c r="G53" s="102"/>
      <c r="H53" s="102"/>
      <c r="I53" s="112"/>
      <c r="J53" s="112"/>
      <c r="K53" s="103" t="str">
        <f t="shared" si="1"/>
        <v/>
      </c>
      <c r="L53" s="102"/>
      <c r="M53" s="102"/>
      <c r="N53" s="112"/>
      <c r="O53" s="102"/>
    </row>
    <row r="54" ht="14.25" customHeight="1">
      <c r="A54" s="102"/>
      <c r="B54" s="102"/>
      <c r="C54" s="102"/>
      <c r="D54" s="102"/>
      <c r="E54" s="102"/>
      <c r="F54" s="102"/>
      <c r="G54" s="102"/>
      <c r="H54" s="102"/>
      <c r="I54" s="112"/>
      <c r="J54" s="112"/>
      <c r="K54" s="103" t="str">
        <f t="shared" si="1"/>
        <v/>
      </c>
      <c r="L54" s="102"/>
      <c r="M54" s="102"/>
      <c r="N54" s="112"/>
      <c r="O54" s="102"/>
    </row>
    <row r="55" ht="14.25" customHeight="1">
      <c r="A55" s="102"/>
      <c r="B55" s="102"/>
      <c r="C55" s="102"/>
      <c r="D55" s="102"/>
      <c r="E55" s="102"/>
      <c r="F55" s="102"/>
      <c r="G55" s="102"/>
      <c r="H55" s="102"/>
      <c r="I55" s="112"/>
      <c r="J55" s="112"/>
      <c r="K55" s="103" t="str">
        <f t="shared" si="1"/>
        <v/>
      </c>
      <c r="L55" s="102"/>
      <c r="M55" s="102"/>
      <c r="N55" s="112"/>
      <c r="O55" s="102"/>
    </row>
    <row r="56" ht="14.25" customHeight="1">
      <c r="A56" s="102"/>
      <c r="B56" s="102"/>
      <c r="C56" s="102"/>
      <c r="D56" s="102"/>
      <c r="E56" s="102"/>
      <c r="F56" s="102"/>
      <c r="G56" s="102"/>
      <c r="H56" s="102"/>
      <c r="I56" s="112"/>
      <c r="J56" s="112"/>
      <c r="K56" s="103" t="str">
        <f t="shared" si="1"/>
        <v/>
      </c>
      <c r="L56" s="102"/>
      <c r="M56" s="102"/>
      <c r="N56" s="112"/>
      <c r="O56" s="102"/>
    </row>
    <row r="57" ht="14.25" customHeight="1">
      <c r="A57" s="102"/>
      <c r="B57" s="102"/>
      <c r="C57" s="102"/>
      <c r="D57" s="102"/>
      <c r="E57" s="102"/>
      <c r="F57" s="102"/>
      <c r="G57" s="102"/>
      <c r="H57" s="102"/>
      <c r="I57" s="112"/>
      <c r="J57" s="112"/>
      <c r="K57" s="103" t="str">
        <f t="shared" si="1"/>
        <v/>
      </c>
      <c r="L57" s="102"/>
      <c r="M57" s="102"/>
      <c r="N57" s="112"/>
      <c r="O57" s="102"/>
    </row>
    <row r="58" ht="14.25" customHeight="1">
      <c r="A58" s="102"/>
      <c r="B58" s="102"/>
      <c r="C58" s="102"/>
      <c r="D58" s="102"/>
      <c r="E58" s="102"/>
      <c r="F58" s="102"/>
      <c r="G58" s="102"/>
      <c r="H58" s="102"/>
      <c r="I58" s="112"/>
      <c r="J58" s="112"/>
      <c r="K58" s="103" t="str">
        <f t="shared" si="1"/>
        <v/>
      </c>
      <c r="L58" s="102"/>
      <c r="M58" s="102"/>
      <c r="N58" s="112"/>
      <c r="O58" s="102"/>
    </row>
    <row r="59" ht="14.25" customHeight="1">
      <c r="A59" s="102"/>
      <c r="B59" s="102"/>
      <c r="C59" s="102"/>
      <c r="D59" s="102"/>
      <c r="E59" s="102"/>
      <c r="F59" s="102"/>
      <c r="G59" s="102"/>
      <c r="H59" s="102"/>
      <c r="I59" s="112"/>
      <c r="J59" s="112"/>
      <c r="K59" s="103" t="str">
        <f t="shared" si="1"/>
        <v/>
      </c>
      <c r="L59" s="102"/>
      <c r="M59" s="102"/>
      <c r="N59" s="112"/>
      <c r="O59" s="102"/>
    </row>
    <row r="60" ht="14.25" customHeight="1">
      <c r="A60" s="102"/>
      <c r="B60" s="102"/>
      <c r="C60" s="102"/>
      <c r="D60" s="102"/>
      <c r="E60" s="102"/>
      <c r="F60" s="102"/>
      <c r="G60" s="102"/>
      <c r="H60" s="102"/>
      <c r="I60" s="112"/>
      <c r="J60" s="112"/>
      <c r="K60" s="103" t="str">
        <f t="shared" si="1"/>
        <v/>
      </c>
      <c r="L60" s="102"/>
      <c r="M60" s="102"/>
      <c r="N60" s="112"/>
      <c r="O60" s="102"/>
    </row>
    <row r="61" ht="14.25" customHeight="1">
      <c r="A61" s="102"/>
      <c r="B61" s="102"/>
      <c r="C61" s="102"/>
      <c r="D61" s="102"/>
      <c r="E61" s="102"/>
      <c r="F61" s="102"/>
      <c r="G61" s="102"/>
      <c r="H61" s="102"/>
      <c r="I61" s="112"/>
      <c r="J61" s="112"/>
      <c r="K61" s="103" t="str">
        <f t="shared" si="1"/>
        <v/>
      </c>
      <c r="L61" s="102"/>
      <c r="M61" s="102"/>
      <c r="N61" s="112"/>
      <c r="O61" s="102"/>
    </row>
    <row r="62" ht="14.25" customHeight="1">
      <c r="A62" s="102"/>
      <c r="B62" s="102"/>
      <c r="C62" s="102"/>
      <c r="D62" s="102"/>
      <c r="E62" s="102"/>
      <c r="F62" s="102"/>
      <c r="G62" s="102"/>
      <c r="H62" s="102"/>
      <c r="I62" s="112"/>
      <c r="J62" s="112"/>
      <c r="K62" s="103" t="str">
        <f t="shared" si="1"/>
        <v/>
      </c>
      <c r="L62" s="102"/>
      <c r="M62" s="102"/>
      <c r="N62" s="112"/>
      <c r="O62" s="102"/>
    </row>
    <row r="63" ht="14.25" customHeight="1">
      <c r="A63" s="102"/>
      <c r="B63" s="102"/>
      <c r="C63" s="102"/>
      <c r="D63" s="102"/>
      <c r="E63" s="102"/>
      <c r="F63" s="102"/>
      <c r="G63" s="102"/>
      <c r="H63" s="102"/>
      <c r="I63" s="112"/>
      <c r="J63" s="112"/>
      <c r="K63" s="103" t="str">
        <f t="shared" si="1"/>
        <v/>
      </c>
      <c r="L63" s="102"/>
      <c r="M63" s="102"/>
      <c r="N63" s="112"/>
      <c r="O63" s="102"/>
    </row>
    <row r="64" ht="14.25" customHeight="1">
      <c r="A64" s="102"/>
      <c r="B64" s="102"/>
      <c r="C64" s="102"/>
      <c r="D64" s="102"/>
      <c r="E64" s="102"/>
      <c r="F64" s="102"/>
      <c r="G64" s="102"/>
      <c r="H64" s="102"/>
      <c r="I64" s="112"/>
      <c r="J64" s="112"/>
      <c r="K64" s="103" t="str">
        <f t="shared" si="1"/>
        <v/>
      </c>
      <c r="L64" s="102"/>
      <c r="M64" s="102"/>
      <c r="N64" s="112"/>
      <c r="O64" s="102"/>
    </row>
    <row r="65" ht="14.25" customHeight="1">
      <c r="A65" s="102"/>
      <c r="B65" s="102"/>
      <c r="C65" s="102"/>
      <c r="D65" s="102"/>
      <c r="E65" s="102"/>
      <c r="F65" s="102"/>
      <c r="G65" s="102"/>
      <c r="H65" s="102"/>
      <c r="I65" s="112"/>
      <c r="J65" s="112"/>
      <c r="K65" s="103" t="str">
        <f t="shared" si="1"/>
        <v/>
      </c>
      <c r="L65" s="102"/>
      <c r="M65" s="102"/>
      <c r="N65" s="112"/>
      <c r="O65" s="102"/>
    </row>
    <row r="66" ht="14.25" customHeight="1">
      <c r="A66" s="102"/>
      <c r="B66" s="102"/>
      <c r="C66" s="102"/>
      <c r="D66" s="102"/>
      <c r="E66" s="102"/>
      <c r="F66" s="102"/>
      <c r="G66" s="102"/>
      <c r="H66" s="102"/>
      <c r="I66" s="112"/>
      <c r="J66" s="112"/>
      <c r="K66" s="103" t="str">
        <f t="shared" si="1"/>
        <v/>
      </c>
      <c r="L66" s="102"/>
      <c r="M66" s="102"/>
      <c r="N66" s="112"/>
      <c r="O66" s="102"/>
    </row>
    <row r="67" ht="14.25" customHeight="1">
      <c r="A67" s="102"/>
      <c r="B67" s="102"/>
      <c r="C67" s="102"/>
      <c r="D67" s="102"/>
      <c r="E67" s="102"/>
      <c r="F67" s="102"/>
      <c r="G67" s="102"/>
      <c r="H67" s="102"/>
      <c r="I67" s="112"/>
      <c r="J67" s="112"/>
      <c r="K67" s="103" t="str">
        <f t="shared" si="1"/>
        <v/>
      </c>
      <c r="L67" s="102"/>
      <c r="M67" s="102"/>
      <c r="N67" s="112"/>
      <c r="O67" s="102"/>
    </row>
    <row r="68" ht="14.25" customHeight="1">
      <c r="A68" s="102"/>
      <c r="B68" s="102"/>
      <c r="C68" s="102"/>
      <c r="D68" s="102"/>
      <c r="E68" s="102"/>
      <c r="F68" s="102"/>
      <c r="G68" s="102"/>
      <c r="H68" s="102"/>
      <c r="I68" s="112"/>
      <c r="J68" s="112"/>
      <c r="K68" s="103" t="str">
        <f t="shared" si="1"/>
        <v/>
      </c>
      <c r="L68" s="102"/>
      <c r="M68" s="102"/>
      <c r="N68" s="112"/>
      <c r="O68" s="102"/>
    </row>
    <row r="69" ht="14.25" customHeight="1">
      <c r="A69" s="102"/>
      <c r="B69" s="102"/>
      <c r="C69" s="102"/>
      <c r="D69" s="102"/>
      <c r="E69" s="102"/>
      <c r="F69" s="102"/>
      <c r="G69" s="102"/>
      <c r="H69" s="102"/>
      <c r="I69" s="112"/>
      <c r="J69" s="112"/>
      <c r="K69" s="103" t="str">
        <f t="shared" si="1"/>
        <v/>
      </c>
      <c r="L69" s="102"/>
      <c r="M69" s="102"/>
      <c r="N69" s="112"/>
      <c r="O69" s="102"/>
    </row>
    <row r="70" ht="14.25" customHeight="1">
      <c r="A70" s="102"/>
      <c r="B70" s="102"/>
      <c r="C70" s="102"/>
      <c r="D70" s="102"/>
      <c r="E70" s="102"/>
      <c r="F70" s="102"/>
      <c r="G70" s="102"/>
      <c r="H70" s="102"/>
      <c r="I70" s="112"/>
      <c r="J70" s="112"/>
      <c r="K70" s="103" t="str">
        <f t="shared" si="1"/>
        <v/>
      </c>
      <c r="L70" s="102"/>
      <c r="M70" s="102"/>
      <c r="N70" s="112"/>
      <c r="O70" s="102"/>
    </row>
    <row r="71" ht="14.25" customHeight="1">
      <c r="A71" s="102"/>
      <c r="B71" s="102"/>
      <c r="C71" s="102"/>
      <c r="D71" s="102"/>
      <c r="E71" s="102"/>
      <c r="F71" s="102"/>
      <c r="G71" s="102"/>
      <c r="H71" s="102"/>
      <c r="I71" s="112"/>
      <c r="J71" s="112"/>
      <c r="K71" s="103" t="str">
        <f t="shared" si="1"/>
        <v/>
      </c>
      <c r="L71" s="102"/>
      <c r="M71" s="102"/>
      <c r="N71" s="112"/>
      <c r="O71" s="102"/>
    </row>
    <row r="72" ht="14.25" customHeight="1">
      <c r="A72" s="102"/>
      <c r="B72" s="102"/>
      <c r="C72" s="102"/>
      <c r="D72" s="102"/>
      <c r="E72" s="102"/>
      <c r="F72" s="102"/>
      <c r="G72" s="102"/>
      <c r="H72" s="102"/>
      <c r="I72" s="112"/>
      <c r="J72" s="112"/>
      <c r="K72" s="103" t="str">
        <f t="shared" si="1"/>
        <v/>
      </c>
      <c r="L72" s="102"/>
      <c r="M72" s="102"/>
      <c r="N72" s="112"/>
      <c r="O72" s="102"/>
    </row>
    <row r="73" ht="14.25" customHeight="1">
      <c r="A73" s="102"/>
      <c r="B73" s="102"/>
      <c r="C73" s="102"/>
      <c r="D73" s="102"/>
      <c r="E73" s="102"/>
      <c r="F73" s="102"/>
      <c r="G73" s="102"/>
      <c r="H73" s="102"/>
      <c r="I73" s="112"/>
      <c r="J73" s="112"/>
      <c r="K73" s="103" t="str">
        <f t="shared" si="1"/>
        <v/>
      </c>
      <c r="L73" s="102"/>
      <c r="M73" s="102"/>
      <c r="N73" s="112"/>
      <c r="O73" s="102"/>
    </row>
    <row r="74" ht="14.25" customHeight="1">
      <c r="A74" s="102"/>
      <c r="B74" s="102"/>
      <c r="C74" s="102"/>
      <c r="D74" s="102"/>
      <c r="E74" s="102"/>
      <c r="F74" s="102"/>
      <c r="G74" s="102"/>
      <c r="H74" s="102"/>
      <c r="I74" s="112"/>
      <c r="J74" s="112"/>
      <c r="K74" s="103" t="str">
        <f t="shared" si="1"/>
        <v/>
      </c>
      <c r="L74" s="102"/>
      <c r="M74" s="102"/>
      <c r="N74" s="112"/>
      <c r="O74" s="102"/>
    </row>
    <row r="75" ht="14.25" customHeight="1">
      <c r="A75" s="102"/>
      <c r="B75" s="102"/>
      <c r="C75" s="102"/>
      <c r="D75" s="102"/>
      <c r="E75" s="102"/>
      <c r="F75" s="102"/>
      <c r="G75" s="102"/>
      <c r="H75" s="102"/>
      <c r="I75" s="112"/>
      <c r="J75" s="112"/>
      <c r="K75" s="103" t="str">
        <f t="shared" si="1"/>
        <v/>
      </c>
      <c r="L75" s="102"/>
      <c r="M75" s="102"/>
      <c r="N75" s="112"/>
      <c r="O75" s="102"/>
    </row>
    <row r="76" ht="14.25" customHeight="1">
      <c r="A76" s="102"/>
      <c r="B76" s="102"/>
      <c r="C76" s="102"/>
      <c r="D76" s="102"/>
      <c r="E76" s="102"/>
      <c r="F76" s="102"/>
      <c r="G76" s="102"/>
      <c r="H76" s="102"/>
      <c r="I76" s="112"/>
      <c r="J76" s="112"/>
      <c r="K76" s="103" t="str">
        <f t="shared" si="1"/>
        <v/>
      </c>
      <c r="L76" s="102"/>
      <c r="M76" s="102"/>
      <c r="N76" s="112"/>
      <c r="O76" s="102"/>
    </row>
    <row r="77" ht="14.25" customHeight="1">
      <c r="A77" s="102"/>
      <c r="B77" s="102"/>
      <c r="C77" s="102"/>
      <c r="D77" s="102"/>
      <c r="E77" s="102"/>
      <c r="F77" s="102"/>
      <c r="G77" s="102"/>
      <c r="H77" s="102"/>
      <c r="I77" s="112"/>
      <c r="J77" s="112"/>
      <c r="K77" s="103" t="str">
        <f t="shared" si="1"/>
        <v/>
      </c>
      <c r="L77" s="102"/>
      <c r="M77" s="102"/>
      <c r="N77" s="112"/>
      <c r="O77" s="102"/>
    </row>
    <row r="78" ht="14.25" customHeight="1">
      <c r="A78" s="102"/>
      <c r="B78" s="102"/>
      <c r="C78" s="102"/>
      <c r="D78" s="102"/>
      <c r="E78" s="102"/>
      <c r="F78" s="102"/>
      <c r="G78" s="102"/>
      <c r="H78" s="102"/>
      <c r="I78" s="112"/>
      <c r="J78" s="112"/>
      <c r="K78" s="103" t="str">
        <f t="shared" si="1"/>
        <v/>
      </c>
      <c r="L78" s="102"/>
      <c r="M78" s="102"/>
      <c r="N78" s="112"/>
      <c r="O78" s="102"/>
    </row>
    <row r="79" ht="14.25" customHeight="1">
      <c r="A79" s="102"/>
      <c r="B79" s="102"/>
      <c r="C79" s="102"/>
      <c r="D79" s="102"/>
      <c r="E79" s="102"/>
      <c r="F79" s="102"/>
      <c r="G79" s="102"/>
      <c r="H79" s="102"/>
      <c r="I79" s="112"/>
      <c r="J79" s="112"/>
      <c r="K79" s="103" t="str">
        <f t="shared" si="1"/>
        <v/>
      </c>
      <c r="L79" s="102"/>
      <c r="M79" s="102"/>
      <c r="N79" s="112"/>
      <c r="O79" s="102"/>
    </row>
    <row r="80" ht="14.25" customHeight="1">
      <c r="A80" s="102"/>
      <c r="B80" s="102"/>
      <c r="C80" s="102"/>
      <c r="D80" s="102"/>
      <c r="E80" s="102"/>
      <c r="F80" s="102"/>
      <c r="G80" s="102"/>
      <c r="H80" s="102"/>
      <c r="I80" s="112"/>
      <c r="J80" s="112"/>
      <c r="K80" s="103" t="str">
        <f t="shared" si="1"/>
        <v/>
      </c>
      <c r="L80" s="102"/>
      <c r="M80" s="102"/>
      <c r="N80" s="112"/>
      <c r="O80" s="102"/>
    </row>
    <row r="81" ht="14.25" customHeight="1">
      <c r="A81" s="102"/>
      <c r="B81" s="102"/>
      <c r="C81" s="102"/>
      <c r="D81" s="102"/>
      <c r="E81" s="102"/>
      <c r="F81" s="102"/>
      <c r="G81" s="102"/>
      <c r="H81" s="102"/>
      <c r="I81" s="112"/>
      <c r="J81" s="112"/>
      <c r="K81" s="103" t="str">
        <f t="shared" si="1"/>
        <v/>
      </c>
      <c r="L81" s="102"/>
      <c r="M81" s="102"/>
      <c r="N81" s="112"/>
      <c r="O81" s="102"/>
    </row>
    <row r="82" ht="14.25" customHeight="1">
      <c r="A82" s="102"/>
      <c r="B82" s="102"/>
      <c r="C82" s="102"/>
      <c r="D82" s="102"/>
      <c r="E82" s="102"/>
      <c r="F82" s="102"/>
      <c r="G82" s="102"/>
      <c r="H82" s="102"/>
      <c r="I82" s="112"/>
      <c r="J82" s="112"/>
      <c r="K82" s="103" t="str">
        <f t="shared" si="1"/>
        <v/>
      </c>
      <c r="L82" s="102"/>
      <c r="M82" s="102"/>
      <c r="N82" s="112"/>
      <c r="O82" s="102"/>
    </row>
    <row r="83" ht="14.25" customHeight="1">
      <c r="A83" s="102"/>
      <c r="B83" s="102"/>
      <c r="C83" s="102"/>
      <c r="D83" s="102"/>
      <c r="E83" s="102"/>
      <c r="F83" s="102"/>
      <c r="G83" s="102"/>
      <c r="H83" s="102"/>
      <c r="I83" s="112"/>
      <c r="J83" s="112"/>
      <c r="K83" s="103" t="str">
        <f t="shared" si="1"/>
        <v/>
      </c>
      <c r="L83" s="102"/>
      <c r="M83" s="102"/>
      <c r="N83" s="112"/>
      <c r="O83" s="102"/>
    </row>
    <row r="84" ht="14.25" customHeight="1">
      <c r="A84" s="102"/>
      <c r="B84" s="102"/>
      <c r="C84" s="102"/>
      <c r="D84" s="102"/>
      <c r="E84" s="102"/>
      <c r="F84" s="102"/>
      <c r="G84" s="102"/>
      <c r="H84" s="102"/>
      <c r="I84" s="112"/>
      <c r="J84" s="112"/>
      <c r="K84" s="103" t="str">
        <f t="shared" si="1"/>
        <v/>
      </c>
      <c r="L84" s="102"/>
      <c r="M84" s="102"/>
      <c r="N84" s="112"/>
      <c r="O84" s="102"/>
    </row>
    <row r="85" ht="14.25" customHeight="1">
      <c r="A85" s="102"/>
      <c r="B85" s="102"/>
      <c r="C85" s="102"/>
      <c r="D85" s="102"/>
      <c r="E85" s="102"/>
      <c r="F85" s="102"/>
      <c r="G85" s="102"/>
      <c r="H85" s="102"/>
      <c r="I85" s="112"/>
      <c r="J85" s="112"/>
      <c r="K85" s="103" t="str">
        <f t="shared" si="1"/>
        <v/>
      </c>
      <c r="L85" s="102"/>
      <c r="M85" s="102"/>
      <c r="N85" s="112"/>
      <c r="O85" s="102"/>
    </row>
    <row r="86" ht="14.25" customHeight="1">
      <c r="A86" s="102"/>
      <c r="B86" s="102"/>
      <c r="C86" s="102"/>
      <c r="D86" s="102"/>
      <c r="E86" s="102"/>
      <c r="F86" s="102"/>
      <c r="G86" s="102"/>
      <c r="H86" s="102"/>
      <c r="I86" s="112"/>
      <c r="J86" s="112"/>
      <c r="K86" s="103" t="str">
        <f t="shared" si="1"/>
        <v/>
      </c>
      <c r="L86" s="102"/>
      <c r="M86" s="102"/>
      <c r="N86" s="112"/>
      <c r="O86" s="102"/>
    </row>
    <row r="87" ht="14.25" customHeight="1">
      <c r="A87" s="102"/>
      <c r="B87" s="102"/>
      <c r="C87" s="102"/>
      <c r="D87" s="102"/>
      <c r="E87" s="102"/>
      <c r="F87" s="102"/>
      <c r="G87" s="102"/>
      <c r="H87" s="102"/>
      <c r="I87" s="112"/>
      <c r="J87" s="112"/>
      <c r="K87" s="103" t="str">
        <f t="shared" si="1"/>
        <v/>
      </c>
      <c r="L87" s="102"/>
      <c r="M87" s="102"/>
      <c r="N87" s="112"/>
      <c r="O87" s="102"/>
    </row>
    <row r="88" ht="14.25" customHeight="1">
      <c r="A88" s="102"/>
      <c r="B88" s="102"/>
      <c r="C88" s="102"/>
      <c r="D88" s="102"/>
      <c r="E88" s="102"/>
      <c r="F88" s="102"/>
      <c r="G88" s="102"/>
      <c r="H88" s="102"/>
      <c r="I88" s="112"/>
      <c r="J88" s="112"/>
      <c r="K88" s="103" t="str">
        <f t="shared" si="1"/>
        <v/>
      </c>
      <c r="L88" s="102"/>
      <c r="M88" s="102"/>
      <c r="N88" s="112"/>
      <c r="O88" s="102"/>
    </row>
    <row r="89" ht="14.25" customHeight="1">
      <c r="A89" s="102"/>
      <c r="B89" s="102"/>
      <c r="C89" s="102"/>
      <c r="D89" s="102"/>
      <c r="E89" s="102"/>
      <c r="F89" s="102"/>
      <c r="G89" s="102"/>
      <c r="H89" s="102"/>
      <c r="I89" s="112"/>
      <c r="J89" s="112"/>
      <c r="K89" s="103" t="str">
        <f t="shared" si="1"/>
        <v/>
      </c>
      <c r="L89" s="102"/>
      <c r="M89" s="102"/>
      <c r="N89" s="112"/>
      <c r="O89" s="102"/>
    </row>
    <row r="90" ht="14.25" customHeight="1">
      <c r="A90" s="102"/>
      <c r="B90" s="102"/>
      <c r="C90" s="102"/>
      <c r="D90" s="102"/>
      <c r="E90" s="102"/>
      <c r="F90" s="102"/>
      <c r="G90" s="102"/>
      <c r="H90" s="102"/>
      <c r="I90" s="112"/>
      <c r="J90" s="112"/>
      <c r="K90" s="103" t="str">
        <f t="shared" si="1"/>
        <v/>
      </c>
      <c r="L90" s="102"/>
      <c r="M90" s="102"/>
      <c r="N90" s="112"/>
      <c r="O90" s="102"/>
    </row>
    <row r="91" ht="14.25" customHeight="1">
      <c r="A91" s="102"/>
      <c r="B91" s="102"/>
      <c r="C91" s="102"/>
      <c r="D91" s="102"/>
      <c r="E91" s="102"/>
      <c r="F91" s="102"/>
      <c r="G91" s="102"/>
      <c r="H91" s="102"/>
      <c r="I91" s="112"/>
      <c r="J91" s="112"/>
      <c r="K91" s="103" t="str">
        <f t="shared" si="1"/>
        <v/>
      </c>
      <c r="L91" s="102"/>
      <c r="M91" s="102"/>
      <c r="N91" s="112"/>
      <c r="O91" s="102"/>
    </row>
    <row r="92" ht="14.25" customHeight="1">
      <c r="A92" s="102"/>
      <c r="B92" s="102"/>
      <c r="C92" s="102"/>
      <c r="D92" s="102"/>
      <c r="E92" s="102"/>
      <c r="F92" s="102"/>
      <c r="G92" s="102"/>
      <c r="H92" s="102"/>
      <c r="I92" s="112"/>
      <c r="J92" s="112"/>
      <c r="K92" s="103" t="str">
        <f t="shared" si="1"/>
        <v/>
      </c>
      <c r="L92" s="102"/>
      <c r="M92" s="102"/>
      <c r="N92" s="112"/>
      <c r="O92" s="102"/>
    </row>
    <row r="93" ht="14.25" customHeight="1">
      <c r="A93" s="102"/>
      <c r="B93" s="102"/>
      <c r="C93" s="102"/>
      <c r="D93" s="102"/>
      <c r="E93" s="102"/>
      <c r="F93" s="102"/>
      <c r="G93" s="102"/>
      <c r="H93" s="102"/>
      <c r="I93" s="112"/>
      <c r="J93" s="112"/>
      <c r="K93" s="103" t="str">
        <f t="shared" si="1"/>
        <v/>
      </c>
      <c r="L93" s="102"/>
      <c r="M93" s="102"/>
      <c r="N93" s="112"/>
      <c r="O93" s="102"/>
    </row>
    <row r="94" ht="14.25" customHeight="1">
      <c r="A94" s="102"/>
      <c r="B94" s="102"/>
      <c r="C94" s="102"/>
      <c r="D94" s="102"/>
      <c r="E94" s="102"/>
      <c r="F94" s="102"/>
      <c r="G94" s="102"/>
      <c r="H94" s="102"/>
      <c r="I94" s="112"/>
      <c r="J94" s="112"/>
      <c r="K94" s="103" t="str">
        <f t="shared" si="1"/>
        <v/>
      </c>
      <c r="L94" s="102"/>
      <c r="M94" s="102"/>
      <c r="N94" s="112"/>
      <c r="O94" s="102"/>
    </row>
    <row r="95" ht="14.25" customHeight="1">
      <c r="A95" s="102"/>
      <c r="B95" s="102"/>
      <c r="C95" s="102"/>
      <c r="D95" s="102"/>
      <c r="E95" s="102"/>
      <c r="F95" s="102"/>
      <c r="G95" s="102"/>
      <c r="H95" s="102"/>
      <c r="I95" s="112"/>
      <c r="J95" s="112"/>
      <c r="K95" s="103" t="str">
        <f t="shared" si="1"/>
        <v/>
      </c>
      <c r="L95" s="102"/>
      <c r="M95" s="102"/>
      <c r="N95" s="112"/>
      <c r="O95" s="102"/>
    </row>
    <row r="96" ht="14.25" customHeight="1">
      <c r="A96" s="102"/>
      <c r="B96" s="102"/>
      <c r="C96" s="102"/>
      <c r="D96" s="102"/>
      <c r="E96" s="102"/>
      <c r="F96" s="102"/>
      <c r="G96" s="102"/>
      <c r="H96" s="102"/>
      <c r="I96" s="112"/>
      <c r="J96" s="112"/>
      <c r="K96" s="103" t="str">
        <f t="shared" si="1"/>
        <v/>
      </c>
      <c r="L96" s="102"/>
      <c r="M96" s="102"/>
      <c r="N96" s="112"/>
      <c r="O96" s="102"/>
    </row>
    <row r="97" ht="14.25" customHeight="1">
      <c r="A97" s="102"/>
      <c r="B97" s="102"/>
      <c r="C97" s="102"/>
      <c r="D97" s="102"/>
      <c r="E97" s="102"/>
      <c r="F97" s="102"/>
      <c r="G97" s="102"/>
      <c r="H97" s="102"/>
      <c r="I97" s="112"/>
      <c r="J97" s="112"/>
      <c r="K97" s="103" t="str">
        <f t="shared" si="1"/>
        <v/>
      </c>
      <c r="L97" s="102"/>
      <c r="M97" s="102"/>
      <c r="N97" s="112"/>
      <c r="O97" s="102"/>
    </row>
    <row r="98" ht="14.25" customHeight="1">
      <c r="A98" s="102"/>
      <c r="B98" s="102"/>
      <c r="C98" s="102"/>
      <c r="D98" s="102"/>
      <c r="E98" s="102"/>
      <c r="F98" s="102"/>
      <c r="G98" s="102"/>
      <c r="H98" s="102"/>
      <c r="I98" s="112"/>
      <c r="J98" s="112"/>
      <c r="K98" s="103" t="str">
        <f t="shared" si="1"/>
        <v/>
      </c>
      <c r="L98" s="102"/>
      <c r="M98" s="102"/>
      <c r="N98" s="112"/>
      <c r="O98" s="102"/>
    </row>
    <row r="99" ht="14.25" customHeight="1">
      <c r="A99" s="102"/>
      <c r="B99" s="102"/>
      <c r="C99" s="102"/>
      <c r="D99" s="102"/>
      <c r="E99" s="102"/>
      <c r="F99" s="102"/>
      <c r="G99" s="102"/>
      <c r="H99" s="102"/>
      <c r="I99" s="112"/>
      <c r="J99" s="112"/>
      <c r="K99" s="103" t="str">
        <f t="shared" si="1"/>
        <v/>
      </c>
      <c r="L99" s="102"/>
      <c r="M99" s="102"/>
      <c r="N99" s="112"/>
      <c r="O99" s="102"/>
    </row>
    <row r="100" ht="14.25" customHeight="1">
      <c r="A100" s="102"/>
      <c r="B100" s="102"/>
      <c r="C100" s="102"/>
      <c r="D100" s="102"/>
      <c r="E100" s="102"/>
      <c r="F100" s="102"/>
      <c r="G100" s="102"/>
      <c r="H100" s="102"/>
      <c r="I100" s="112"/>
      <c r="J100" s="112"/>
      <c r="K100" s="103" t="str">
        <f t="shared" si="1"/>
        <v/>
      </c>
      <c r="L100" s="102"/>
      <c r="M100" s="102"/>
      <c r="N100" s="112"/>
      <c r="O100" s="102"/>
    </row>
    <row r="101" ht="14.25" customHeight="1">
      <c r="A101" s="102"/>
      <c r="B101" s="102"/>
      <c r="C101" s="102"/>
      <c r="D101" s="102"/>
      <c r="E101" s="102"/>
      <c r="F101" s="102"/>
      <c r="G101" s="102"/>
      <c r="H101" s="102"/>
      <c r="I101" s="112"/>
      <c r="J101" s="112"/>
      <c r="K101" s="103" t="str">
        <f t="shared" si="1"/>
        <v/>
      </c>
      <c r="L101" s="102"/>
      <c r="M101" s="102"/>
      <c r="N101" s="112"/>
      <c r="O101" s="102"/>
    </row>
    <row r="102" ht="14.25" customHeight="1">
      <c r="A102" s="102"/>
      <c r="B102" s="102"/>
      <c r="C102" s="102"/>
      <c r="D102" s="102"/>
      <c r="E102" s="102"/>
      <c r="F102" s="102"/>
      <c r="G102" s="102"/>
      <c r="H102" s="102"/>
      <c r="I102" s="112"/>
      <c r="J102" s="112"/>
      <c r="K102" s="103" t="str">
        <f t="shared" si="1"/>
        <v/>
      </c>
      <c r="L102" s="102"/>
      <c r="M102" s="102"/>
      <c r="N102" s="112"/>
      <c r="O102" s="102"/>
    </row>
    <row r="103" ht="14.25" customHeight="1">
      <c r="A103" s="102"/>
      <c r="B103" s="102"/>
      <c r="C103" s="102"/>
      <c r="D103" s="102"/>
      <c r="E103" s="102"/>
      <c r="F103" s="102"/>
      <c r="G103" s="102"/>
      <c r="H103" s="102"/>
      <c r="I103" s="112"/>
      <c r="J103" s="112"/>
      <c r="K103" s="103" t="str">
        <f t="shared" si="1"/>
        <v/>
      </c>
      <c r="L103" s="102"/>
      <c r="M103" s="102"/>
      <c r="N103" s="112"/>
      <c r="O103" s="102"/>
    </row>
    <row r="104" ht="14.25" customHeight="1">
      <c r="A104" s="102"/>
      <c r="B104" s="102"/>
      <c r="C104" s="102"/>
      <c r="D104" s="102"/>
      <c r="E104" s="102"/>
      <c r="F104" s="102"/>
      <c r="G104" s="102"/>
      <c r="H104" s="102"/>
      <c r="I104" s="112"/>
      <c r="J104" s="112"/>
      <c r="K104" s="103" t="str">
        <f t="shared" si="1"/>
        <v/>
      </c>
      <c r="L104" s="102"/>
      <c r="M104" s="102"/>
      <c r="N104" s="112"/>
      <c r="O104" s="102"/>
    </row>
    <row r="105" ht="14.25" customHeight="1">
      <c r="A105" s="102"/>
      <c r="B105" s="102"/>
      <c r="C105" s="102"/>
      <c r="D105" s="102"/>
      <c r="E105" s="102"/>
      <c r="F105" s="102"/>
      <c r="G105" s="102"/>
      <c r="H105" s="102"/>
      <c r="I105" s="112"/>
      <c r="J105" s="112"/>
      <c r="K105" s="103" t="str">
        <f t="shared" si="1"/>
        <v/>
      </c>
      <c r="L105" s="102"/>
      <c r="M105" s="102"/>
      <c r="N105" s="112"/>
      <c r="O105" s="102"/>
    </row>
    <row r="106" ht="14.25" customHeight="1">
      <c r="A106" s="102"/>
      <c r="B106" s="102"/>
      <c r="C106" s="102"/>
      <c r="D106" s="102"/>
      <c r="E106" s="102"/>
      <c r="F106" s="102"/>
      <c r="G106" s="102"/>
      <c r="H106" s="102"/>
      <c r="I106" s="112"/>
      <c r="J106" s="112"/>
      <c r="K106" s="103" t="str">
        <f t="shared" si="1"/>
        <v/>
      </c>
      <c r="L106" s="102"/>
      <c r="M106" s="102"/>
      <c r="N106" s="112"/>
      <c r="O106" s="102"/>
    </row>
    <row r="107" ht="14.25" customHeight="1">
      <c r="A107" s="102"/>
      <c r="B107" s="102"/>
      <c r="C107" s="102"/>
      <c r="D107" s="102"/>
      <c r="E107" s="102"/>
      <c r="F107" s="102"/>
      <c r="G107" s="102"/>
      <c r="H107" s="102"/>
      <c r="I107" s="112"/>
      <c r="J107" s="112"/>
      <c r="K107" s="103" t="str">
        <f t="shared" si="1"/>
        <v/>
      </c>
      <c r="L107" s="102"/>
      <c r="M107" s="102"/>
      <c r="N107" s="112"/>
      <c r="O107" s="102"/>
    </row>
    <row r="108" ht="14.25" customHeight="1">
      <c r="A108" s="102"/>
      <c r="B108" s="102"/>
      <c r="C108" s="102"/>
      <c r="D108" s="102"/>
      <c r="E108" s="102"/>
      <c r="F108" s="102"/>
      <c r="G108" s="102"/>
      <c r="H108" s="102"/>
      <c r="I108" s="112"/>
      <c r="J108" s="112"/>
      <c r="K108" s="103" t="str">
        <f t="shared" si="1"/>
        <v/>
      </c>
      <c r="L108" s="102"/>
      <c r="M108" s="102"/>
      <c r="N108" s="112"/>
      <c r="O108" s="102"/>
    </row>
    <row r="109" ht="14.25" customHeight="1">
      <c r="A109" s="102"/>
      <c r="B109" s="102"/>
      <c r="C109" s="102"/>
      <c r="D109" s="102"/>
      <c r="E109" s="102"/>
      <c r="F109" s="102"/>
      <c r="G109" s="102"/>
      <c r="H109" s="102"/>
      <c r="I109" s="112"/>
      <c r="J109" s="112"/>
      <c r="K109" s="103" t="str">
        <f t="shared" si="1"/>
        <v/>
      </c>
      <c r="L109" s="102"/>
      <c r="M109" s="102"/>
      <c r="N109" s="112"/>
      <c r="O109" s="102"/>
    </row>
    <row r="110" ht="14.25" customHeight="1">
      <c r="A110" s="102"/>
      <c r="B110" s="102"/>
      <c r="C110" s="102"/>
      <c r="D110" s="102"/>
      <c r="E110" s="102"/>
      <c r="F110" s="102"/>
      <c r="G110" s="102"/>
      <c r="H110" s="102"/>
      <c r="I110" s="112"/>
      <c r="J110" s="112"/>
      <c r="K110" s="103" t="str">
        <f t="shared" si="1"/>
        <v/>
      </c>
      <c r="L110" s="102"/>
      <c r="M110" s="102"/>
      <c r="N110" s="112"/>
      <c r="O110" s="102"/>
    </row>
    <row r="111" ht="14.25" customHeight="1">
      <c r="A111" s="102"/>
      <c r="B111" s="102"/>
      <c r="C111" s="102"/>
      <c r="D111" s="102"/>
      <c r="E111" s="102"/>
      <c r="F111" s="102"/>
      <c r="G111" s="102"/>
      <c r="H111" s="102"/>
      <c r="I111" s="112"/>
      <c r="J111" s="112"/>
      <c r="K111" s="103" t="str">
        <f t="shared" si="1"/>
        <v/>
      </c>
      <c r="L111" s="102"/>
      <c r="M111" s="102"/>
      <c r="N111" s="112"/>
      <c r="O111" s="102"/>
    </row>
    <row r="112" ht="14.25" customHeight="1">
      <c r="A112" s="102"/>
      <c r="B112" s="102"/>
      <c r="C112" s="102"/>
      <c r="D112" s="102"/>
      <c r="E112" s="102"/>
      <c r="F112" s="102"/>
      <c r="G112" s="102"/>
      <c r="H112" s="102"/>
      <c r="I112" s="112"/>
      <c r="J112" s="112"/>
      <c r="K112" s="103" t="str">
        <f t="shared" si="1"/>
        <v/>
      </c>
      <c r="L112" s="102"/>
      <c r="M112" s="102"/>
      <c r="N112" s="112"/>
      <c r="O112" s="102"/>
    </row>
    <row r="113" ht="14.25" customHeight="1">
      <c r="A113" s="102"/>
      <c r="B113" s="102"/>
      <c r="C113" s="102"/>
      <c r="D113" s="102"/>
      <c r="E113" s="102"/>
      <c r="F113" s="102"/>
      <c r="G113" s="102"/>
      <c r="H113" s="102"/>
      <c r="I113" s="112"/>
      <c r="J113" s="112"/>
      <c r="K113" s="103" t="str">
        <f t="shared" si="1"/>
        <v/>
      </c>
      <c r="L113" s="102"/>
      <c r="M113" s="102"/>
      <c r="N113" s="112"/>
      <c r="O113" s="102"/>
    </row>
    <row r="114" ht="14.25" customHeight="1">
      <c r="A114" s="102"/>
      <c r="B114" s="102"/>
      <c r="C114" s="102"/>
      <c r="D114" s="102"/>
      <c r="E114" s="102"/>
      <c r="F114" s="102"/>
      <c r="G114" s="102"/>
      <c r="H114" s="102"/>
      <c r="I114" s="112"/>
      <c r="J114" s="112"/>
      <c r="K114" s="103" t="str">
        <f t="shared" si="1"/>
        <v/>
      </c>
      <c r="L114" s="102"/>
      <c r="M114" s="102"/>
      <c r="N114" s="112"/>
      <c r="O114" s="102"/>
    </row>
    <row r="115" ht="14.25" customHeight="1">
      <c r="A115" s="102"/>
      <c r="B115" s="102"/>
      <c r="C115" s="102"/>
      <c r="D115" s="102"/>
      <c r="E115" s="102"/>
      <c r="F115" s="102"/>
      <c r="G115" s="102"/>
      <c r="H115" s="102"/>
      <c r="I115" s="112"/>
      <c r="J115" s="112"/>
      <c r="K115" s="103" t="str">
        <f t="shared" si="1"/>
        <v/>
      </c>
      <c r="L115" s="102"/>
      <c r="M115" s="102"/>
      <c r="N115" s="112"/>
      <c r="O115" s="102"/>
    </row>
    <row r="116" ht="14.25" customHeight="1">
      <c r="A116" s="102"/>
      <c r="B116" s="102"/>
      <c r="C116" s="102"/>
      <c r="D116" s="102"/>
      <c r="E116" s="102"/>
      <c r="F116" s="102"/>
      <c r="G116" s="102"/>
      <c r="H116" s="102"/>
      <c r="I116" s="112"/>
      <c r="J116" s="112"/>
      <c r="K116" s="103" t="str">
        <f t="shared" si="1"/>
        <v/>
      </c>
      <c r="L116" s="102"/>
      <c r="M116" s="102"/>
      <c r="N116" s="112"/>
      <c r="O116" s="102"/>
    </row>
    <row r="117" ht="14.25" customHeight="1">
      <c r="A117" s="102"/>
      <c r="B117" s="102"/>
      <c r="C117" s="102"/>
      <c r="D117" s="102"/>
      <c r="E117" s="102"/>
      <c r="F117" s="102"/>
      <c r="G117" s="102"/>
      <c r="H117" s="102"/>
      <c r="I117" s="112"/>
      <c r="J117" s="112"/>
      <c r="K117" s="103" t="str">
        <f t="shared" si="1"/>
        <v/>
      </c>
      <c r="L117" s="102"/>
      <c r="M117" s="102"/>
      <c r="N117" s="112"/>
      <c r="O117" s="102"/>
    </row>
    <row r="118" ht="14.25" customHeight="1">
      <c r="A118" s="102"/>
      <c r="B118" s="102"/>
      <c r="C118" s="102"/>
      <c r="D118" s="102"/>
      <c r="E118" s="102"/>
      <c r="F118" s="102"/>
      <c r="G118" s="102"/>
      <c r="H118" s="102"/>
      <c r="I118" s="112"/>
      <c r="J118" s="112"/>
      <c r="K118" s="103" t="str">
        <f t="shared" si="1"/>
        <v/>
      </c>
      <c r="L118" s="102"/>
      <c r="M118" s="102"/>
      <c r="N118" s="112"/>
      <c r="O118" s="102"/>
    </row>
    <row r="119" ht="14.25" customHeight="1">
      <c r="A119" s="102"/>
      <c r="B119" s="102"/>
      <c r="C119" s="102"/>
      <c r="D119" s="102"/>
      <c r="E119" s="102"/>
      <c r="F119" s="102"/>
      <c r="G119" s="102"/>
      <c r="H119" s="102"/>
      <c r="I119" s="112"/>
      <c r="J119" s="112"/>
      <c r="K119" s="103" t="str">
        <f t="shared" si="1"/>
        <v/>
      </c>
      <c r="L119" s="102"/>
      <c r="M119" s="102"/>
      <c r="N119" s="112"/>
      <c r="O119" s="102"/>
    </row>
    <row r="120" ht="14.25" customHeight="1">
      <c r="A120" s="102"/>
      <c r="B120" s="102"/>
      <c r="C120" s="102"/>
      <c r="D120" s="102"/>
      <c r="E120" s="102"/>
      <c r="F120" s="102"/>
      <c r="G120" s="102"/>
      <c r="H120" s="102"/>
      <c r="I120" s="112"/>
      <c r="J120" s="112"/>
      <c r="K120" s="103" t="str">
        <f t="shared" si="1"/>
        <v/>
      </c>
      <c r="L120" s="102"/>
      <c r="M120" s="102"/>
      <c r="N120" s="112"/>
      <c r="O120" s="102"/>
    </row>
    <row r="121" ht="14.25" customHeight="1">
      <c r="A121" s="102"/>
      <c r="B121" s="102"/>
      <c r="C121" s="102"/>
      <c r="D121" s="102"/>
      <c r="E121" s="102"/>
      <c r="F121" s="102"/>
      <c r="G121" s="102"/>
      <c r="H121" s="102"/>
      <c r="I121" s="112"/>
      <c r="J121" s="112"/>
      <c r="K121" s="103" t="str">
        <f t="shared" si="1"/>
        <v/>
      </c>
      <c r="L121" s="102"/>
      <c r="M121" s="102"/>
      <c r="N121" s="112"/>
      <c r="O121" s="102"/>
    </row>
    <row r="122" ht="14.25" customHeight="1">
      <c r="A122" s="102"/>
      <c r="B122" s="102"/>
      <c r="C122" s="102"/>
      <c r="D122" s="102"/>
      <c r="E122" s="102"/>
      <c r="F122" s="102"/>
      <c r="G122" s="102"/>
      <c r="H122" s="102"/>
      <c r="I122" s="112"/>
      <c r="J122" s="112"/>
      <c r="K122" s="103" t="str">
        <f t="shared" si="1"/>
        <v/>
      </c>
      <c r="L122" s="102"/>
      <c r="M122" s="102"/>
      <c r="N122" s="112"/>
      <c r="O122" s="102"/>
    </row>
    <row r="123" ht="14.25" customHeight="1">
      <c r="A123" s="102"/>
      <c r="B123" s="102"/>
      <c r="C123" s="102"/>
      <c r="D123" s="102"/>
      <c r="E123" s="102"/>
      <c r="F123" s="102"/>
      <c r="G123" s="102"/>
      <c r="H123" s="102"/>
      <c r="I123" s="112"/>
      <c r="J123" s="112"/>
      <c r="K123" s="103" t="str">
        <f t="shared" si="1"/>
        <v/>
      </c>
      <c r="L123" s="102"/>
      <c r="M123" s="102"/>
      <c r="N123" s="112"/>
      <c r="O123" s="102"/>
    </row>
    <row r="124" ht="14.25" customHeight="1">
      <c r="A124" s="102"/>
      <c r="B124" s="102"/>
      <c r="C124" s="102"/>
      <c r="D124" s="102"/>
      <c r="E124" s="102"/>
      <c r="F124" s="102"/>
      <c r="G124" s="102"/>
      <c r="H124" s="102"/>
      <c r="I124" s="112"/>
      <c r="J124" s="112"/>
      <c r="K124" s="103" t="str">
        <f t="shared" si="1"/>
        <v/>
      </c>
      <c r="L124" s="102"/>
      <c r="M124" s="102"/>
      <c r="N124" s="112"/>
      <c r="O124" s="102"/>
    </row>
    <row r="125" ht="14.25" customHeight="1">
      <c r="A125" s="102"/>
      <c r="B125" s="102"/>
      <c r="C125" s="102"/>
      <c r="D125" s="102"/>
      <c r="E125" s="102"/>
      <c r="F125" s="102"/>
      <c r="G125" s="102"/>
      <c r="H125" s="102"/>
      <c r="I125" s="112"/>
      <c r="J125" s="112"/>
      <c r="K125" s="103" t="str">
        <f t="shared" si="1"/>
        <v/>
      </c>
      <c r="L125" s="102"/>
      <c r="M125" s="102"/>
      <c r="N125" s="112"/>
      <c r="O125" s="102"/>
    </row>
    <row r="126" ht="14.25" customHeight="1">
      <c r="A126" s="102"/>
      <c r="B126" s="102"/>
      <c r="C126" s="102"/>
      <c r="D126" s="102"/>
      <c r="E126" s="102"/>
      <c r="F126" s="102"/>
      <c r="G126" s="102"/>
      <c r="H126" s="102"/>
      <c r="I126" s="112"/>
      <c r="J126" s="112"/>
      <c r="K126" s="103" t="str">
        <f t="shared" si="1"/>
        <v/>
      </c>
      <c r="L126" s="102"/>
      <c r="M126" s="102"/>
      <c r="N126" s="112"/>
      <c r="O126" s="102"/>
    </row>
    <row r="127" ht="14.25" customHeight="1">
      <c r="A127" s="102"/>
      <c r="B127" s="102"/>
      <c r="C127" s="102"/>
      <c r="D127" s="102"/>
      <c r="E127" s="102"/>
      <c r="F127" s="102"/>
      <c r="G127" s="102"/>
      <c r="H127" s="102"/>
      <c r="I127" s="112"/>
      <c r="J127" s="112"/>
      <c r="K127" s="103" t="str">
        <f t="shared" si="1"/>
        <v/>
      </c>
      <c r="L127" s="102"/>
      <c r="M127" s="102"/>
      <c r="N127" s="112"/>
      <c r="O127" s="102"/>
    </row>
    <row r="128" ht="14.25" customHeight="1">
      <c r="A128" s="102"/>
      <c r="B128" s="102"/>
      <c r="C128" s="102"/>
      <c r="D128" s="102"/>
      <c r="E128" s="102"/>
      <c r="F128" s="102"/>
      <c r="G128" s="102"/>
      <c r="H128" s="102"/>
      <c r="I128" s="112"/>
      <c r="J128" s="112"/>
      <c r="K128" s="103" t="str">
        <f t="shared" si="1"/>
        <v/>
      </c>
      <c r="L128" s="102"/>
      <c r="M128" s="102"/>
      <c r="N128" s="112"/>
      <c r="O128" s="102"/>
    </row>
    <row r="129" ht="14.25" customHeight="1">
      <c r="A129" s="102"/>
      <c r="B129" s="102"/>
      <c r="C129" s="102"/>
      <c r="D129" s="102"/>
      <c r="E129" s="102"/>
      <c r="F129" s="102"/>
      <c r="G129" s="102"/>
      <c r="H129" s="102"/>
      <c r="I129" s="112"/>
      <c r="J129" s="112"/>
      <c r="K129" s="103" t="str">
        <f t="shared" si="1"/>
        <v/>
      </c>
      <c r="L129" s="102"/>
      <c r="M129" s="102"/>
      <c r="N129" s="112"/>
      <c r="O129" s="102"/>
    </row>
    <row r="130" ht="14.25" customHeight="1">
      <c r="A130" s="102"/>
      <c r="B130" s="102"/>
      <c r="C130" s="102"/>
      <c r="D130" s="102"/>
      <c r="E130" s="102"/>
      <c r="F130" s="102"/>
      <c r="G130" s="102"/>
      <c r="H130" s="102"/>
      <c r="I130" s="112"/>
      <c r="J130" s="112"/>
      <c r="K130" s="103" t="str">
        <f t="shared" si="1"/>
        <v/>
      </c>
      <c r="L130" s="102"/>
      <c r="M130" s="102"/>
      <c r="N130" s="112"/>
      <c r="O130" s="102"/>
    </row>
    <row r="131" ht="14.25" customHeight="1">
      <c r="A131" s="102"/>
      <c r="B131" s="102"/>
      <c r="C131" s="102"/>
      <c r="D131" s="102"/>
      <c r="E131" s="102"/>
      <c r="F131" s="102"/>
      <c r="G131" s="102"/>
      <c r="H131" s="102"/>
      <c r="I131" s="112"/>
      <c r="J131" s="112"/>
      <c r="K131" s="103" t="str">
        <f t="shared" si="1"/>
        <v/>
      </c>
      <c r="L131" s="102"/>
      <c r="M131" s="102"/>
      <c r="N131" s="112"/>
      <c r="O131" s="102"/>
    </row>
    <row r="132" ht="14.25" customHeight="1">
      <c r="A132" s="102"/>
      <c r="B132" s="102"/>
      <c r="C132" s="102"/>
      <c r="D132" s="102"/>
      <c r="E132" s="102"/>
      <c r="F132" s="102"/>
      <c r="G132" s="102"/>
      <c r="H132" s="102"/>
      <c r="I132" s="112"/>
      <c r="J132" s="112"/>
      <c r="K132" s="103" t="str">
        <f t="shared" si="1"/>
        <v/>
      </c>
      <c r="L132" s="102"/>
      <c r="M132" s="102"/>
      <c r="N132" s="112"/>
      <c r="O132" s="102"/>
    </row>
    <row r="133" ht="14.25" customHeight="1">
      <c r="A133" s="102"/>
      <c r="B133" s="102"/>
      <c r="C133" s="102"/>
      <c r="D133" s="102"/>
      <c r="E133" s="102"/>
      <c r="F133" s="102"/>
      <c r="G133" s="102"/>
      <c r="H133" s="102"/>
      <c r="I133" s="112"/>
      <c r="J133" s="112"/>
      <c r="K133" s="103" t="str">
        <f t="shared" si="1"/>
        <v/>
      </c>
      <c r="L133" s="102"/>
      <c r="M133" s="102"/>
      <c r="N133" s="112"/>
      <c r="O133" s="102"/>
    </row>
    <row r="134" ht="14.25" customHeight="1">
      <c r="A134" s="102"/>
      <c r="B134" s="102"/>
      <c r="C134" s="102"/>
      <c r="D134" s="102"/>
      <c r="E134" s="102"/>
      <c r="F134" s="102"/>
      <c r="G134" s="102"/>
      <c r="H134" s="102"/>
      <c r="I134" s="112"/>
      <c r="J134" s="112"/>
      <c r="K134" s="103" t="str">
        <f t="shared" si="1"/>
        <v/>
      </c>
      <c r="L134" s="102"/>
      <c r="M134" s="102"/>
      <c r="N134" s="112"/>
      <c r="O134" s="102"/>
    </row>
    <row r="135" ht="14.25" customHeight="1">
      <c r="A135" s="102"/>
      <c r="B135" s="102"/>
      <c r="C135" s="102"/>
      <c r="D135" s="102"/>
      <c r="E135" s="102"/>
      <c r="F135" s="102"/>
      <c r="G135" s="102"/>
      <c r="H135" s="102"/>
      <c r="I135" s="112"/>
      <c r="J135" s="112"/>
      <c r="K135" s="103" t="str">
        <f t="shared" si="1"/>
        <v/>
      </c>
      <c r="L135" s="102"/>
      <c r="M135" s="102"/>
      <c r="N135" s="112"/>
      <c r="O135" s="102"/>
    </row>
    <row r="136" ht="14.25" customHeight="1">
      <c r="A136" s="102"/>
      <c r="B136" s="102"/>
      <c r="C136" s="102"/>
      <c r="D136" s="102"/>
      <c r="E136" s="102"/>
      <c r="F136" s="102"/>
      <c r="G136" s="102"/>
      <c r="H136" s="102"/>
      <c r="I136" s="112"/>
      <c r="J136" s="112"/>
      <c r="K136" s="103" t="str">
        <f t="shared" si="1"/>
        <v/>
      </c>
      <c r="L136" s="102"/>
      <c r="M136" s="102"/>
      <c r="N136" s="112"/>
      <c r="O136" s="102"/>
    </row>
    <row r="137" ht="14.25" customHeight="1">
      <c r="A137" s="102"/>
      <c r="B137" s="102"/>
      <c r="C137" s="102"/>
      <c r="D137" s="102"/>
      <c r="E137" s="102"/>
      <c r="F137" s="102"/>
      <c r="G137" s="102"/>
      <c r="H137" s="102"/>
      <c r="I137" s="112"/>
      <c r="J137" s="112"/>
      <c r="K137" s="103" t="str">
        <f t="shared" si="1"/>
        <v/>
      </c>
      <c r="L137" s="102"/>
      <c r="M137" s="102"/>
      <c r="N137" s="112"/>
      <c r="O137" s="102"/>
    </row>
    <row r="138" ht="14.25" customHeight="1">
      <c r="A138" s="102"/>
      <c r="B138" s="102"/>
      <c r="C138" s="102"/>
      <c r="D138" s="102"/>
      <c r="E138" s="102"/>
      <c r="F138" s="102"/>
      <c r="G138" s="102"/>
      <c r="H138" s="102"/>
      <c r="I138" s="112"/>
      <c r="J138" s="112"/>
      <c r="K138" s="103" t="str">
        <f t="shared" si="1"/>
        <v/>
      </c>
      <c r="L138" s="102"/>
      <c r="M138" s="102"/>
      <c r="N138" s="112"/>
      <c r="O138" s="102"/>
    </row>
    <row r="139" ht="14.25" customHeight="1">
      <c r="A139" s="102"/>
      <c r="B139" s="102"/>
      <c r="C139" s="102"/>
      <c r="D139" s="102"/>
      <c r="E139" s="102"/>
      <c r="F139" s="102"/>
      <c r="G139" s="102"/>
      <c r="H139" s="102"/>
      <c r="I139" s="112"/>
      <c r="J139" s="112"/>
      <c r="K139" s="103" t="str">
        <f t="shared" si="1"/>
        <v/>
      </c>
      <c r="L139" s="102"/>
      <c r="M139" s="102"/>
      <c r="N139" s="112"/>
      <c r="O139" s="102"/>
    </row>
    <row r="140" ht="14.25" customHeight="1">
      <c r="A140" s="102"/>
      <c r="B140" s="102"/>
      <c r="C140" s="102"/>
      <c r="D140" s="102"/>
      <c r="E140" s="102"/>
      <c r="F140" s="102"/>
      <c r="G140" s="102"/>
      <c r="H140" s="102"/>
      <c r="I140" s="112"/>
      <c r="J140" s="112"/>
      <c r="K140" s="103" t="str">
        <f t="shared" si="1"/>
        <v/>
      </c>
      <c r="L140" s="102"/>
      <c r="M140" s="102"/>
      <c r="N140" s="112"/>
      <c r="O140" s="102"/>
    </row>
    <row r="141" ht="14.25" customHeight="1">
      <c r="A141" s="102"/>
      <c r="B141" s="102"/>
      <c r="C141" s="102"/>
      <c r="D141" s="102"/>
      <c r="E141" s="102"/>
      <c r="F141" s="102"/>
      <c r="G141" s="102"/>
      <c r="H141" s="102"/>
      <c r="I141" s="112"/>
      <c r="J141" s="112"/>
      <c r="K141" s="103" t="str">
        <f t="shared" si="1"/>
        <v/>
      </c>
      <c r="L141" s="102"/>
      <c r="M141" s="102"/>
      <c r="N141" s="112"/>
      <c r="O141" s="102"/>
    </row>
    <row r="142" ht="14.25" customHeight="1">
      <c r="A142" s="102"/>
      <c r="B142" s="102"/>
      <c r="C142" s="102"/>
      <c r="D142" s="102"/>
      <c r="E142" s="102"/>
      <c r="F142" s="102"/>
      <c r="G142" s="102"/>
      <c r="H142" s="102"/>
      <c r="I142" s="112"/>
      <c r="J142" s="112"/>
      <c r="K142" s="103" t="str">
        <f t="shared" si="1"/>
        <v/>
      </c>
      <c r="L142" s="102"/>
      <c r="M142" s="102"/>
      <c r="N142" s="112"/>
      <c r="O142" s="102"/>
    </row>
    <row r="143" ht="14.25" customHeight="1">
      <c r="A143" s="102"/>
      <c r="B143" s="102"/>
      <c r="C143" s="102"/>
      <c r="D143" s="102"/>
      <c r="E143" s="102"/>
      <c r="F143" s="102"/>
      <c r="G143" s="102"/>
      <c r="H143" s="102"/>
      <c r="I143" s="112"/>
      <c r="J143" s="112"/>
      <c r="K143" s="103" t="str">
        <f t="shared" si="1"/>
        <v/>
      </c>
      <c r="L143" s="102"/>
      <c r="M143" s="102"/>
      <c r="N143" s="112"/>
      <c r="O143" s="102"/>
    </row>
    <row r="144" ht="14.25" customHeight="1">
      <c r="A144" s="102"/>
      <c r="B144" s="102"/>
      <c r="C144" s="102"/>
      <c r="D144" s="102"/>
      <c r="E144" s="102"/>
      <c r="F144" s="102"/>
      <c r="G144" s="102"/>
      <c r="H144" s="102"/>
      <c r="I144" s="112"/>
      <c r="J144" s="112"/>
      <c r="K144" s="103" t="str">
        <f t="shared" si="1"/>
        <v/>
      </c>
      <c r="L144" s="102"/>
      <c r="M144" s="102"/>
      <c r="N144" s="112"/>
      <c r="O144" s="102"/>
    </row>
    <row r="145" ht="14.25" customHeight="1">
      <c r="A145" s="102"/>
      <c r="B145" s="102"/>
      <c r="C145" s="102"/>
      <c r="D145" s="102"/>
      <c r="E145" s="102"/>
      <c r="F145" s="102"/>
      <c r="G145" s="102"/>
      <c r="H145" s="102"/>
      <c r="I145" s="112"/>
      <c r="J145" s="112"/>
      <c r="K145" s="103" t="str">
        <f t="shared" si="1"/>
        <v/>
      </c>
      <c r="L145" s="102"/>
      <c r="M145" s="102"/>
      <c r="N145" s="112"/>
      <c r="O145" s="102"/>
    </row>
    <row r="146" ht="14.25" customHeight="1">
      <c r="A146" s="102"/>
      <c r="B146" s="102"/>
      <c r="C146" s="102"/>
      <c r="D146" s="102"/>
      <c r="E146" s="102"/>
      <c r="F146" s="102"/>
      <c r="G146" s="102"/>
      <c r="H146" s="102"/>
      <c r="I146" s="112"/>
      <c r="J146" s="112"/>
      <c r="K146" s="103" t="str">
        <f t="shared" si="1"/>
        <v/>
      </c>
      <c r="L146" s="102"/>
      <c r="M146" s="102"/>
      <c r="N146" s="112"/>
      <c r="O146" s="102"/>
    </row>
    <row r="147" ht="14.25" customHeight="1">
      <c r="A147" s="102"/>
      <c r="B147" s="102"/>
      <c r="C147" s="102"/>
      <c r="D147" s="102"/>
      <c r="E147" s="102"/>
      <c r="F147" s="102"/>
      <c r="G147" s="102"/>
      <c r="H147" s="102"/>
      <c r="I147" s="112"/>
      <c r="J147" s="112"/>
      <c r="K147" s="103" t="str">
        <f t="shared" si="1"/>
        <v/>
      </c>
      <c r="L147" s="102"/>
      <c r="M147" s="102"/>
      <c r="N147" s="112"/>
      <c r="O147" s="102"/>
    </row>
    <row r="148" ht="14.25" customHeight="1">
      <c r="A148" s="102"/>
      <c r="B148" s="102"/>
      <c r="C148" s="102"/>
      <c r="D148" s="102"/>
      <c r="E148" s="102"/>
      <c r="F148" s="102"/>
      <c r="G148" s="102"/>
      <c r="H148" s="102"/>
      <c r="I148" s="112"/>
      <c r="J148" s="112"/>
      <c r="K148" s="103" t="str">
        <f t="shared" si="1"/>
        <v/>
      </c>
      <c r="L148" s="102"/>
      <c r="M148" s="102"/>
      <c r="N148" s="112"/>
      <c r="O148" s="102"/>
    </row>
    <row r="149" ht="14.25" customHeight="1">
      <c r="A149" s="102"/>
      <c r="B149" s="102"/>
      <c r="C149" s="102"/>
      <c r="D149" s="102"/>
      <c r="E149" s="102"/>
      <c r="F149" s="102"/>
      <c r="G149" s="102"/>
      <c r="H149" s="102"/>
      <c r="I149" s="112"/>
      <c r="J149" s="112"/>
      <c r="K149" s="103" t="str">
        <f t="shared" si="1"/>
        <v/>
      </c>
      <c r="L149" s="102"/>
      <c r="M149" s="102"/>
      <c r="N149" s="112"/>
      <c r="O149" s="102"/>
    </row>
    <row r="150" ht="14.25" customHeight="1">
      <c r="A150" s="102"/>
      <c r="B150" s="102"/>
      <c r="C150" s="102"/>
      <c r="D150" s="102"/>
      <c r="E150" s="102"/>
      <c r="F150" s="102"/>
      <c r="G150" s="102"/>
      <c r="H150" s="102"/>
      <c r="I150" s="112"/>
      <c r="J150" s="112"/>
      <c r="K150" s="103" t="str">
        <f t="shared" si="1"/>
        <v/>
      </c>
      <c r="L150" s="102"/>
      <c r="M150" s="102"/>
      <c r="N150" s="112"/>
      <c r="O150" s="102"/>
    </row>
    <row r="151" ht="14.25" customHeight="1">
      <c r="A151" s="102"/>
      <c r="B151" s="102"/>
      <c r="C151" s="102"/>
      <c r="D151" s="102"/>
      <c r="E151" s="102"/>
      <c r="F151" s="102"/>
      <c r="G151" s="102"/>
      <c r="H151" s="102"/>
      <c r="I151" s="112"/>
      <c r="J151" s="112"/>
      <c r="K151" s="103" t="str">
        <f t="shared" si="1"/>
        <v/>
      </c>
      <c r="L151" s="102"/>
      <c r="M151" s="102"/>
      <c r="N151" s="112"/>
      <c r="O151" s="102"/>
    </row>
    <row r="152" ht="14.25" customHeight="1">
      <c r="A152" s="102"/>
      <c r="B152" s="102"/>
      <c r="C152" s="102"/>
      <c r="D152" s="102"/>
      <c r="E152" s="102"/>
      <c r="F152" s="102"/>
      <c r="G152" s="102"/>
      <c r="H152" s="102"/>
      <c r="I152" s="112"/>
      <c r="J152" s="112"/>
      <c r="K152" s="103" t="str">
        <f t="shared" si="1"/>
        <v/>
      </c>
      <c r="L152" s="102"/>
      <c r="M152" s="102"/>
      <c r="N152" s="112"/>
      <c r="O152" s="102"/>
    </row>
    <row r="153" ht="14.25" customHeight="1">
      <c r="A153" s="102"/>
      <c r="B153" s="102"/>
      <c r="C153" s="102"/>
      <c r="D153" s="102"/>
      <c r="E153" s="102"/>
      <c r="F153" s="102"/>
      <c r="G153" s="102"/>
      <c r="H153" s="102"/>
      <c r="I153" s="112"/>
      <c r="J153" s="112"/>
      <c r="K153" s="103" t="str">
        <f t="shared" si="1"/>
        <v/>
      </c>
      <c r="L153" s="102"/>
      <c r="M153" s="102"/>
      <c r="N153" s="112"/>
      <c r="O153" s="102"/>
    </row>
    <row r="154" ht="14.25" customHeight="1">
      <c r="A154" s="102"/>
      <c r="B154" s="102"/>
      <c r="C154" s="102"/>
      <c r="D154" s="102"/>
      <c r="E154" s="102"/>
      <c r="F154" s="102"/>
      <c r="G154" s="102"/>
      <c r="H154" s="102"/>
      <c r="I154" s="112"/>
      <c r="J154" s="112"/>
      <c r="K154" s="103" t="str">
        <f t="shared" si="1"/>
        <v/>
      </c>
      <c r="L154" s="102"/>
      <c r="M154" s="102"/>
      <c r="N154" s="112"/>
      <c r="O154" s="102"/>
    </row>
    <row r="155" ht="14.25" customHeight="1">
      <c r="A155" s="102"/>
      <c r="B155" s="102"/>
      <c r="C155" s="102"/>
      <c r="D155" s="102"/>
      <c r="E155" s="102"/>
      <c r="F155" s="102"/>
      <c r="G155" s="102"/>
      <c r="H155" s="102"/>
      <c r="I155" s="112"/>
      <c r="J155" s="112"/>
      <c r="K155" s="103" t="str">
        <f t="shared" si="1"/>
        <v/>
      </c>
      <c r="L155" s="102"/>
      <c r="M155" s="102"/>
      <c r="N155" s="112"/>
      <c r="O155" s="102"/>
    </row>
    <row r="156" ht="14.25" customHeight="1">
      <c r="A156" s="102"/>
      <c r="B156" s="102"/>
      <c r="C156" s="102"/>
      <c r="D156" s="102"/>
      <c r="E156" s="102"/>
      <c r="F156" s="102"/>
      <c r="G156" s="102"/>
      <c r="H156" s="102"/>
      <c r="I156" s="112"/>
      <c r="J156" s="112"/>
      <c r="K156" s="103" t="str">
        <f t="shared" si="1"/>
        <v/>
      </c>
      <c r="L156" s="102"/>
      <c r="M156" s="102"/>
      <c r="N156" s="112"/>
      <c r="O156" s="102"/>
    </row>
    <row r="157" ht="14.25" customHeight="1">
      <c r="A157" s="102"/>
      <c r="B157" s="102"/>
      <c r="C157" s="102"/>
      <c r="D157" s="102"/>
      <c r="E157" s="102"/>
      <c r="F157" s="102"/>
      <c r="G157" s="102"/>
      <c r="H157" s="102"/>
      <c r="I157" s="112"/>
      <c r="J157" s="112"/>
      <c r="K157" s="103" t="str">
        <f t="shared" si="1"/>
        <v/>
      </c>
      <c r="L157" s="102"/>
      <c r="M157" s="102"/>
      <c r="N157" s="112"/>
      <c r="O157" s="102"/>
    </row>
    <row r="158" ht="14.25" customHeight="1">
      <c r="A158" s="102"/>
      <c r="B158" s="102"/>
      <c r="C158" s="102"/>
      <c r="D158" s="102"/>
      <c r="E158" s="102"/>
      <c r="F158" s="102"/>
      <c r="G158" s="102"/>
      <c r="H158" s="102"/>
      <c r="I158" s="112"/>
      <c r="J158" s="112"/>
      <c r="K158" s="103" t="str">
        <f t="shared" si="1"/>
        <v/>
      </c>
      <c r="L158" s="102"/>
      <c r="M158" s="102"/>
      <c r="N158" s="112"/>
      <c r="O158" s="102"/>
    </row>
    <row r="159" ht="14.25" customHeight="1">
      <c r="A159" s="102"/>
      <c r="B159" s="102"/>
      <c r="C159" s="102"/>
      <c r="D159" s="102"/>
      <c r="E159" s="102"/>
      <c r="F159" s="102"/>
      <c r="G159" s="102"/>
      <c r="H159" s="102"/>
      <c r="I159" s="112"/>
      <c r="J159" s="112"/>
      <c r="K159" s="103" t="str">
        <f t="shared" si="1"/>
        <v/>
      </c>
      <c r="L159" s="102"/>
      <c r="M159" s="102"/>
      <c r="N159" s="112"/>
      <c r="O159" s="102"/>
    </row>
    <row r="160" ht="14.25" customHeight="1">
      <c r="A160" s="102"/>
      <c r="B160" s="102"/>
      <c r="C160" s="102"/>
      <c r="D160" s="102"/>
      <c r="E160" s="102"/>
      <c r="F160" s="102"/>
      <c r="G160" s="102"/>
      <c r="H160" s="102"/>
      <c r="I160" s="112"/>
      <c r="J160" s="112"/>
      <c r="K160" s="103" t="str">
        <f t="shared" si="1"/>
        <v/>
      </c>
      <c r="L160" s="102"/>
      <c r="M160" s="102"/>
      <c r="N160" s="112"/>
      <c r="O160" s="102"/>
    </row>
    <row r="161" ht="14.25" customHeight="1">
      <c r="A161" s="102"/>
      <c r="B161" s="102"/>
      <c r="C161" s="102"/>
      <c r="D161" s="102"/>
      <c r="E161" s="102"/>
      <c r="F161" s="102"/>
      <c r="G161" s="102"/>
      <c r="H161" s="102"/>
      <c r="I161" s="112"/>
      <c r="J161" s="112"/>
      <c r="K161" s="103" t="str">
        <f t="shared" si="1"/>
        <v/>
      </c>
      <c r="L161" s="102"/>
      <c r="M161" s="102"/>
      <c r="N161" s="112"/>
      <c r="O161" s="102"/>
    </row>
    <row r="162" ht="14.25" customHeight="1">
      <c r="A162" s="102"/>
      <c r="B162" s="102"/>
      <c r="C162" s="102"/>
      <c r="D162" s="102"/>
      <c r="E162" s="102"/>
      <c r="F162" s="102"/>
      <c r="G162" s="102"/>
      <c r="H162" s="102"/>
      <c r="I162" s="112"/>
      <c r="J162" s="112"/>
      <c r="K162" s="103" t="str">
        <f t="shared" si="1"/>
        <v/>
      </c>
      <c r="L162" s="102"/>
      <c r="M162" s="102"/>
      <c r="N162" s="112"/>
      <c r="O162" s="102"/>
    </row>
    <row r="163" ht="14.25" customHeight="1">
      <c r="A163" s="102"/>
      <c r="B163" s="102"/>
      <c r="C163" s="102"/>
      <c r="D163" s="102"/>
      <c r="E163" s="102"/>
      <c r="F163" s="102"/>
      <c r="G163" s="102"/>
      <c r="H163" s="102"/>
      <c r="I163" s="112"/>
      <c r="J163" s="112"/>
      <c r="K163" s="103" t="str">
        <f t="shared" si="1"/>
        <v/>
      </c>
      <c r="L163" s="102"/>
      <c r="M163" s="102"/>
      <c r="N163" s="112"/>
      <c r="O163" s="102"/>
    </row>
    <row r="164" ht="14.25" customHeight="1">
      <c r="A164" s="102"/>
      <c r="B164" s="102"/>
      <c r="C164" s="102"/>
      <c r="D164" s="102"/>
      <c r="E164" s="102"/>
      <c r="F164" s="102"/>
      <c r="G164" s="102"/>
      <c r="H164" s="102"/>
      <c r="I164" s="112"/>
      <c r="J164" s="112"/>
      <c r="K164" s="103" t="str">
        <f t="shared" si="1"/>
        <v/>
      </c>
      <c r="L164" s="102"/>
      <c r="M164" s="102"/>
      <c r="N164" s="112"/>
      <c r="O164" s="102"/>
    </row>
    <row r="165" ht="14.25" customHeight="1">
      <c r="A165" s="102"/>
      <c r="B165" s="102"/>
      <c r="C165" s="102"/>
      <c r="D165" s="102"/>
      <c r="E165" s="102"/>
      <c r="F165" s="102"/>
      <c r="G165" s="102"/>
      <c r="H165" s="102"/>
      <c r="I165" s="112"/>
      <c r="J165" s="112"/>
      <c r="K165" s="103" t="str">
        <f t="shared" si="1"/>
        <v/>
      </c>
      <c r="L165" s="102"/>
      <c r="M165" s="102"/>
      <c r="N165" s="112"/>
      <c r="O165" s="102"/>
    </row>
    <row r="166" ht="14.25" customHeight="1">
      <c r="A166" s="102"/>
      <c r="B166" s="102"/>
      <c r="C166" s="102"/>
      <c r="D166" s="102"/>
      <c r="E166" s="102"/>
      <c r="F166" s="102"/>
      <c r="G166" s="102"/>
      <c r="H166" s="102"/>
      <c r="I166" s="112"/>
      <c r="J166" s="112"/>
      <c r="K166" s="103" t="str">
        <f t="shared" si="1"/>
        <v/>
      </c>
      <c r="L166" s="102"/>
      <c r="M166" s="102"/>
      <c r="N166" s="112"/>
      <c r="O166" s="102"/>
    </row>
    <row r="167" ht="14.25" customHeight="1">
      <c r="A167" s="102"/>
      <c r="B167" s="102"/>
      <c r="C167" s="102"/>
      <c r="D167" s="102"/>
      <c r="E167" s="102"/>
      <c r="F167" s="102"/>
      <c r="G167" s="102"/>
      <c r="H167" s="102"/>
      <c r="I167" s="112"/>
      <c r="J167" s="112"/>
      <c r="K167" s="103" t="str">
        <f t="shared" si="1"/>
        <v/>
      </c>
      <c r="L167" s="102"/>
      <c r="M167" s="102"/>
      <c r="N167" s="112"/>
      <c r="O167" s="102"/>
    </row>
    <row r="168" ht="14.25" customHeight="1">
      <c r="A168" s="102"/>
      <c r="B168" s="102"/>
      <c r="C168" s="102"/>
      <c r="D168" s="102"/>
      <c r="E168" s="102"/>
      <c r="F168" s="102"/>
      <c r="G168" s="102"/>
      <c r="H168" s="102"/>
      <c r="I168" s="112"/>
      <c r="J168" s="112"/>
      <c r="K168" s="103" t="str">
        <f t="shared" si="1"/>
        <v/>
      </c>
      <c r="L168" s="102"/>
      <c r="M168" s="102"/>
      <c r="N168" s="112"/>
      <c r="O168" s="102"/>
    </row>
    <row r="169" ht="14.25" customHeight="1">
      <c r="A169" s="102"/>
      <c r="B169" s="102"/>
      <c r="C169" s="102"/>
      <c r="D169" s="102"/>
      <c r="E169" s="102"/>
      <c r="F169" s="102"/>
      <c r="G169" s="102"/>
      <c r="H169" s="102"/>
      <c r="I169" s="112"/>
      <c r="J169" s="112"/>
      <c r="K169" s="103" t="str">
        <f t="shared" si="1"/>
        <v/>
      </c>
      <c r="L169" s="102"/>
      <c r="M169" s="102"/>
      <c r="N169" s="112"/>
      <c r="O169" s="102"/>
    </row>
    <row r="170" ht="14.25" customHeight="1">
      <c r="A170" s="102"/>
      <c r="B170" s="102"/>
      <c r="C170" s="102"/>
      <c r="D170" s="102"/>
      <c r="E170" s="102"/>
      <c r="F170" s="102"/>
      <c r="G170" s="102"/>
      <c r="H170" s="102"/>
      <c r="I170" s="112"/>
      <c r="J170" s="112"/>
      <c r="K170" s="103" t="str">
        <f t="shared" si="1"/>
        <v/>
      </c>
      <c r="L170" s="102"/>
      <c r="M170" s="102"/>
      <c r="N170" s="112"/>
      <c r="O170" s="102"/>
    </row>
    <row r="171" ht="14.25" customHeight="1">
      <c r="A171" s="102"/>
      <c r="B171" s="102"/>
      <c r="C171" s="102"/>
      <c r="D171" s="102"/>
      <c r="E171" s="102"/>
      <c r="F171" s="102"/>
      <c r="G171" s="102"/>
      <c r="H171" s="102"/>
      <c r="I171" s="112"/>
      <c r="J171" s="112"/>
      <c r="K171" s="103" t="str">
        <f t="shared" si="1"/>
        <v/>
      </c>
      <c r="L171" s="102"/>
      <c r="M171" s="102"/>
      <c r="N171" s="112"/>
      <c r="O171" s="102"/>
    </row>
    <row r="172" ht="14.25" customHeight="1">
      <c r="A172" s="102"/>
      <c r="B172" s="102"/>
      <c r="C172" s="102"/>
      <c r="D172" s="102"/>
      <c r="E172" s="102"/>
      <c r="F172" s="102"/>
      <c r="G172" s="102"/>
      <c r="H172" s="102"/>
      <c r="I172" s="112"/>
      <c r="J172" s="112"/>
      <c r="K172" s="103" t="str">
        <f t="shared" si="1"/>
        <v/>
      </c>
      <c r="L172" s="102"/>
      <c r="M172" s="102"/>
      <c r="N172" s="112"/>
      <c r="O172" s="102"/>
    </row>
    <row r="173" ht="14.25" customHeight="1">
      <c r="A173" s="102"/>
      <c r="B173" s="102"/>
      <c r="C173" s="102"/>
      <c r="D173" s="102"/>
      <c r="E173" s="102"/>
      <c r="F173" s="102"/>
      <c r="G173" s="102"/>
      <c r="H173" s="102"/>
      <c r="I173" s="112"/>
      <c r="J173" s="112"/>
      <c r="K173" s="103" t="str">
        <f t="shared" si="1"/>
        <v/>
      </c>
      <c r="L173" s="102"/>
      <c r="M173" s="102"/>
      <c r="N173" s="112"/>
      <c r="O173" s="102"/>
    </row>
    <row r="174" ht="14.25" customHeight="1">
      <c r="A174" s="102"/>
      <c r="B174" s="102"/>
      <c r="C174" s="102"/>
      <c r="D174" s="102"/>
      <c r="E174" s="102"/>
      <c r="F174" s="102"/>
      <c r="G174" s="102"/>
      <c r="H174" s="102"/>
      <c r="I174" s="112"/>
      <c r="J174" s="112"/>
      <c r="K174" s="103" t="str">
        <f t="shared" si="1"/>
        <v/>
      </c>
      <c r="L174" s="102"/>
      <c r="M174" s="102"/>
      <c r="N174" s="112"/>
      <c r="O174" s="102"/>
    </row>
    <row r="175" ht="14.25" customHeight="1">
      <c r="A175" s="102"/>
      <c r="B175" s="102"/>
      <c r="C175" s="102"/>
      <c r="D175" s="102"/>
      <c r="E175" s="102"/>
      <c r="F175" s="102"/>
      <c r="G175" s="102"/>
      <c r="H175" s="102"/>
      <c r="I175" s="112"/>
      <c r="J175" s="112"/>
      <c r="K175" s="103" t="str">
        <f t="shared" si="1"/>
        <v/>
      </c>
      <c r="L175" s="102"/>
      <c r="M175" s="102"/>
      <c r="N175" s="112"/>
      <c r="O175" s="102"/>
    </row>
    <row r="176" ht="14.25" customHeight="1">
      <c r="A176" s="102"/>
      <c r="B176" s="102"/>
      <c r="C176" s="102"/>
      <c r="D176" s="102"/>
      <c r="E176" s="102"/>
      <c r="F176" s="102"/>
      <c r="G176" s="102"/>
      <c r="H176" s="102"/>
      <c r="I176" s="112"/>
      <c r="J176" s="112"/>
      <c r="K176" s="103" t="str">
        <f t="shared" si="1"/>
        <v/>
      </c>
      <c r="L176" s="102"/>
      <c r="M176" s="102"/>
      <c r="N176" s="112"/>
      <c r="O176" s="102"/>
    </row>
    <row r="177" ht="14.25" customHeight="1">
      <c r="A177" s="102"/>
      <c r="B177" s="102"/>
      <c r="C177" s="102"/>
      <c r="D177" s="102"/>
      <c r="E177" s="102"/>
      <c r="F177" s="102"/>
      <c r="G177" s="102"/>
      <c r="H177" s="102"/>
      <c r="I177" s="112"/>
      <c r="J177" s="112"/>
      <c r="K177" s="103" t="str">
        <f t="shared" si="1"/>
        <v/>
      </c>
      <c r="L177" s="102"/>
      <c r="M177" s="102"/>
      <c r="N177" s="112"/>
      <c r="O177" s="102"/>
    </row>
    <row r="178" ht="14.25" customHeight="1">
      <c r="A178" s="102"/>
      <c r="B178" s="102"/>
      <c r="C178" s="102"/>
      <c r="D178" s="102"/>
      <c r="E178" s="102"/>
      <c r="F178" s="102"/>
      <c r="G178" s="102"/>
      <c r="H178" s="102"/>
      <c r="I178" s="112"/>
      <c r="J178" s="112"/>
      <c r="K178" s="103" t="str">
        <f t="shared" si="1"/>
        <v/>
      </c>
      <c r="L178" s="102"/>
      <c r="M178" s="102"/>
      <c r="N178" s="112"/>
      <c r="O178" s="102"/>
    </row>
    <row r="179" ht="14.25" customHeight="1">
      <c r="A179" s="102"/>
      <c r="B179" s="102"/>
      <c r="C179" s="102"/>
      <c r="D179" s="102"/>
      <c r="E179" s="102"/>
      <c r="F179" s="102"/>
      <c r="G179" s="102"/>
      <c r="H179" s="102"/>
      <c r="I179" s="112"/>
      <c r="J179" s="112"/>
      <c r="K179" s="103" t="str">
        <f t="shared" si="1"/>
        <v/>
      </c>
      <c r="L179" s="102"/>
      <c r="M179" s="102"/>
      <c r="N179" s="112"/>
      <c r="O179" s="102"/>
    </row>
    <row r="180" ht="14.25" customHeight="1">
      <c r="A180" s="102"/>
      <c r="B180" s="102"/>
      <c r="C180" s="102"/>
      <c r="D180" s="102"/>
      <c r="E180" s="102"/>
      <c r="F180" s="102"/>
      <c r="G180" s="102"/>
      <c r="H180" s="102"/>
      <c r="I180" s="112"/>
      <c r="J180" s="112"/>
      <c r="K180" s="103" t="str">
        <f t="shared" si="1"/>
        <v/>
      </c>
      <c r="L180" s="102"/>
      <c r="M180" s="102"/>
      <c r="N180" s="112"/>
      <c r="O180" s="102"/>
    </row>
    <row r="181" ht="14.25" customHeight="1">
      <c r="A181" s="102"/>
      <c r="B181" s="102"/>
      <c r="C181" s="102"/>
      <c r="D181" s="102"/>
      <c r="E181" s="102"/>
      <c r="F181" s="102"/>
      <c r="G181" s="102"/>
      <c r="H181" s="102"/>
      <c r="I181" s="112"/>
      <c r="J181" s="112"/>
      <c r="K181" s="103" t="str">
        <f t="shared" si="1"/>
        <v/>
      </c>
      <c r="L181" s="102"/>
      <c r="M181" s="102"/>
      <c r="N181" s="112"/>
      <c r="O181" s="102"/>
    </row>
    <row r="182" ht="14.25" customHeight="1">
      <c r="A182" s="102"/>
      <c r="B182" s="102"/>
      <c r="C182" s="102"/>
      <c r="D182" s="102"/>
      <c r="E182" s="102"/>
      <c r="F182" s="102"/>
      <c r="G182" s="102"/>
      <c r="H182" s="102"/>
      <c r="I182" s="112"/>
      <c r="J182" s="112"/>
      <c r="K182" s="103" t="str">
        <f t="shared" si="1"/>
        <v/>
      </c>
      <c r="L182" s="102"/>
      <c r="M182" s="102"/>
      <c r="N182" s="112"/>
      <c r="O182" s="102"/>
    </row>
    <row r="183" ht="14.25" customHeight="1">
      <c r="A183" s="102"/>
      <c r="B183" s="102"/>
      <c r="C183" s="102"/>
      <c r="D183" s="102"/>
      <c r="E183" s="102"/>
      <c r="F183" s="102"/>
      <c r="G183" s="102"/>
      <c r="H183" s="102"/>
      <c r="I183" s="112"/>
      <c r="J183" s="112"/>
      <c r="K183" s="103" t="str">
        <f t="shared" si="1"/>
        <v/>
      </c>
      <c r="L183" s="102"/>
      <c r="M183" s="102"/>
      <c r="N183" s="112"/>
      <c r="O183" s="102"/>
    </row>
    <row r="184" ht="14.25" customHeight="1">
      <c r="A184" s="102"/>
      <c r="B184" s="102"/>
      <c r="C184" s="102"/>
      <c r="D184" s="102"/>
      <c r="E184" s="102"/>
      <c r="F184" s="102"/>
      <c r="G184" s="102"/>
      <c r="H184" s="102"/>
      <c r="I184" s="112"/>
      <c r="J184" s="112"/>
      <c r="K184" s="103" t="str">
        <f t="shared" si="1"/>
        <v/>
      </c>
      <c r="L184" s="102"/>
      <c r="M184" s="102"/>
      <c r="N184" s="112"/>
      <c r="O184" s="102"/>
    </row>
    <row r="185" ht="14.25" customHeight="1">
      <c r="A185" s="102"/>
      <c r="B185" s="102"/>
      <c r="C185" s="102"/>
      <c r="D185" s="102"/>
      <c r="E185" s="102"/>
      <c r="F185" s="102"/>
      <c r="G185" s="102"/>
      <c r="H185" s="102"/>
      <c r="I185" s="112"/>
      <c r="J185" s="112"/>
      <c r="K185" s="103" t="str">
        <f t="shared" si="1"/>
        <v/>
      </c>
      <c r="L185" s="102"/>
      <c r="M185" s="102"/>
      <c r="N185" s="112"/>
      <c r="O185" s="102"/>
    </row>
    <row r="186" ht="14.25" customHeight="1">
      <c r="A186" s="102"/>
      <c r="B186" s="102"/>
      <c r="C186" s="102"/>
      <c r="D186" s="102"/>
      <c r="E186" s="102"/>
      <c r="F186" s="102"/>
      <c r="G186" s="102"/>
      <c r="H186" s="102"/>
      <c r="I186" s="112"/>
      <c r="J186" s="112"/>
      <c r="K186" s="103" t="str">
        <f t="shared" si="1"/>
        <v/>
      </c>
      <c r="L186" s="102"/>
      <c r="M186" s="102"/>
      <c r="N186" s="112"/>
      <c r="O186" s="102"/>
    </row>
    <row r="187" ht="14.25" customHeight="1">
      <c r="A187" s="102"/>
      <c r="B187" s="102"/>
      <c r="C187" s="102"/>
      <c r="D187" s="102"/>
      <c r="E187" s="102"/>
      <c r="F187" s="102"/>
      <c r="G187" s="102"/>
      <c r="H187" s="102"/>
      <c r="I187" s="112"/>
      <c r="J187" s="112"/>
      <c r="K187" s="103" t="str">
        <f t="shared" si="1"/>
        <v/>
      </c>
      <c r="L187" s="102"/>
      <c r="M187" s="102"/>
      <c r="N187" s="112"/>
      <c r="O187" s="102"/>
    </row>
    <row r="188" ht="14.25" customHeight="1">
      <c r="A188" s="102"/>
      <c r="B188" s="102"/>
      <c r="C188" s="102"/>
      <c r="D188" s="102"/>
      <c r="E188" s="102"/>
      <c r="F188" s="102"/>
      <c r="G188" s="102"/>
      <c r="H188" s="102"/>
      <c r="I188" s="112"/>
      <c r="J188" s="112"/>
      <c r="K188" s="103" t="str">
        <f t="shared" si="1"/>
        <v/>
      </c>
      <c r="L188" s="102"/>
      <c r="M188" s="102"/>
      <c r="N188" s="112"/>
      <c r="O188" s="102"/>
    </row>
    <row r="189" ht="14.25" customHeight="1">
      <c r="A189" s="102"/>
      <c r="B189" s="102"/>
      <c r="C189" s="102"/>
      <c r="D189" s="102"/>
      <c r="E189" s="102"/>
      <c r="F189" s="102"/>
      <c r="G189" s="102"/>
      <c r="H189" s="102"/>
      <c r="I189" s="112"/>
      <c r="J189" s="112"/>
      <c r="K189" s="103" t="str">
        <f t="shared" si="1"/>
        <v/>
      </c>
      <c r="L189" s="102"/>
      <c r="M189" s="102"/>
      <c r="N189" s="112"/>
      <c r="O189" s="102"/>
    </row>
    <row r="190" ht="14.25" customHeight="1">
      <c r="A190" s="102"/>
      <c r="B190" s="102"/>
      <c r="C190" s="102"/>
      <c r="D190" s="102"/>
      <c r="E190" s="102"/>
      <c r="F190" s="102"/>
      <c r="G190" s="102"/>
      <c r="H190" s="102"/>
      <c r="I190" s="112"/>
      <c r="J190" s="112"/>
      <c r="K190" s="103" t="str">
        <f t="shared" si="1"/>
        <v/>
      </c>
      <c r="L190" s="102"/>
      <c r="M190" s="102"/>
      <c r="N190" s="112"/>
      <c r="O190" s="102"/>
    </row>
    <row r="191" ht="14.25" customHeight="1">
      <c r="A191" s="102"/>
      <c r="B191" s="102"/>
      <c r="C191" s="102"/>
      <c r="D191" s="102"/>
      <c r="E191" s="102"/>
      <c r="F191" s="102"/>
      <c r="G191" s="102"/>
      <c r="H191" s="102"/>
      <c r="I191" s="112"/>
      <c r="J191" s="112"/>
      <c r="K191" s="103" t="str">
        <f t="shared" si="1"/>
        <v/>
      </c>
      <c r="L191" s="102"/>
      <c r="M191" s="102"/>
      <c r="N191" s="112"/>
      <c r="O191" s="102"/>
    </row>
    <row r="192" ht="14.25" customHeight="1">
      <c r="A192" s="102"/>
      <c r="B192" s="102"/>
      <c r="C192" s="102"/>
      <c r="D192" s="102"/>
      <c r="E192" s="102"/>
      <c r="F192" s="102"/>
      <c r="G192" s="102"/>
      <c r="H192" s="102"/>
      <c r="I192" s="112"/>
      <c r="J192" s="112"/>
      <c r="K192" s="103" t="str">
        <f t="shared" si="1"/>
        <v/>
      </c>
      <c r="L192" s="102"/>
      <c r="M192" s="102"/>
      <c r="N192" s="112"/>
      <c r="O192" s="102"/>
    </row>
    <row r="193" ht="14.25" customHeight="1">
      <c r="A193" s="102"/>
      <c r="B193" s="102"/>
      <c r="C193" s="102"/>
      <c r="D193" s="102"/>
      <c r="E193" s="102"/>
      <c r="F193" s="102"/>
      <c r="G193" s="102"/>
      <c r="H193" s="102"/>
      <c r="I193" s="112"/>
      <c r="J193" s="112"/>
      <c r="K193" s="103" t="str">
        <f t="shared" si="1"/>
        <v/>
      </c>
      <c r="L193" s="102"/>
      <c r="M193" s="102"/>
      <c r="N193" s="112"/>
      <c r="O193" s="102"/>
    </row>
    <row r="194" ht="14.25" customHeight="1">
      <c r="A194" s="102"/>
      <c r="B194" s="102"/>
      <c r="C194" s="102"/>
      <c r="D194" s="102"/>
      <c r="E194" s="102"/>
      <c r="F194" s="102"/>
      <c r="G194" s="102"/>
      <c r="H194" s="102"/>
      <c r="I194" s="112"/>
      <c r="J194" s="112"/>
      <c r="K194" s="103" t="str">
        <f t="shared" si="1"/>
        <v/>
      </c>
      <c r="L194" s="102"/>
      <c r="M194" s="102"/>
      <c r="N194" s="112"/>
      <c r="O194" s="102"/>
    </row>
    <row r="195" ht="14.25" customHeight="1">
      <c r="A195" s="102"/>
      <c r="B195" s="102"/>
      <c r="C195" s="102"/>
      <c r="D195" s="102"/>
      <c r="E195" s="102"/>
      <c r="F195" s="102"/>
      <c r="G195" s="102"/>
      <c r="H195" s="102"/>
      <c r="I195" s="112"/>
      <c r="J195" s="112"/>
      <c r="K195" s="103" t="str">
        <f t="shared" si="1"/>
        <v/>
      </c>
      <c r="L195" s="102"/>
      <c r="M195" s="102"/>
      <c r="N195" s="112"/>
      <c r="O195" s="102"/>
    </row>
    <row r="196" ht="14.25" customHeight="1">
      <c r="A196" s="102"/>
      <c r="B196" s="102"/>
      <c r="C196" s="102"/>
      <c r="D196" s="102"/>
      <c r="E196" s="102"/>
      <c r="F196" s="102"/>
      <c r="G196" s="102"/>
      <c r="H196" s="102"/>
      <c r="I196" s="112"/>
      <c r="J196" s="112"/>
      <c r="K196" s="103" t="str">
        <f t="shared" si="1"/>
        <v/>
      </c>
      <c r="L196" s="102"/>
      <c r="M196" s="102"/>
      <c r="N196" s="112"/>
      <c r="O196" s="102"/>
    </row>
    <row r="197" ht="14.25" customHeight="1">
      <c r="A197" s="102"/>
      <c r="B197" s="102"/>
      <c r="C197" s="102"/>
      <c r="D197" s="102"/>
      <c r="E197" s="102"/>
      <c r="F197" s="102"/>
      <c r="G197" s="102"/>
      <c r="H197" s="102"/>
      <c r="I197" s="112"/>
      <c r="J197" s="112"/>
      <c r="K197" s="103" t="str">
        <f t="shared" si="1"/>
        <v/>
      </c>
      <c r="L197" s="102"/>
      <c r="M197" s="102"/>
      <c r="N197" s="112"/>
      <c r="O197" s="102"/>
    </row>
    <row r="198" ht="14.25" customHeight="1">
      <c r="A198" s="102"/>
      <c r="B198" s="102"/>
      <c r="C198" s="102"/>
      <c r="D198" s="102"/>
      <c r="E198" s="102"/>
      <c r="F198" s="102"/>
      <c r="G198" s="102"/>
      <c r="H198" s="102"/>
      <c r="I198" s="112"/>
      <c r="J198" s="112"/>
      <c r="K198" s="103" t="str">
        <f t="shared" si="1"/>
        <v/>
      </c>
      <c r="L198" s="102"/>
      <c r="M198" s="102"/>
      <c r="N198" s="112"/>
      <c r="O198" s="102"/>
    </row>
    <row r="199" ht="14.25" customHeight="1">
      <c r="A199" s="102"/>
      <c r="B199" s="102"/>
      <c r="C199" s="102"/>
      <c r="D199" s="102"/>
      <c r="E199" s="102"/>
      <c r="F199" s="102"/>
      <c r="G199" s="102"/>
      <c r="H199" s="102"/>
      <c r="I199" s="112"/>
      <c r="J199" s="112"/>
      <c r="K199" s="103" t="str">
        <f t="shared" si="1"/>
        <v/>
      </c>
      <c r="L199" s="102"/>
      <c r="M199" s="102"/>
      <c r="N199" s="112"/>
      <c r="O199" s="102"/>
    </row>
    <row r="200" ht="14.25" customHeight="1">
      <c r="A200" s="102"/>
      <c r="B200" s="102"/>
      <c r="C200" s="102"/>
      <c r="D200" s="102"/>
      <c r="E200" s="102"/>
      <c r="F200" s="102"/>
      <c r="G200" s="102"/>
      <c r="H200" s="102"/>
      <c r="I200" s="112"/>
      <c r="J200" s="112"/>
      <c r="K200" s="103" t="str">
        <f t="shared" si="1"/>
        <v/>
      </c>
      <c r="L200" s="102"/>
      <c r="M200" s="102"/>
      <c r="N200" s="112"/>
      <c r="O200" s="102"/>
    </row>
    <row r="201" ht="14.25" customHeight="1">
      <c r="A201" s="102"/>
      <c r="B201" s="102"/>
      <c r="C201" s="102"/>
      <c r="D201" s="102"/>
      <c r="E201" s="102"/>
      <c r="F201" s="102"/>
      <c r="G201" s="102"/>
      <c r="H201" s="102"/>
      <c r="I201" s="112"/>
      <c r="J201" s="112"/>
      <c r="K201" s="103" t="str">
        <f t="shared" si="1"/>
        <v/>
      </c>
      <c r="L201" s="102"/>
      <c r="M201" s="102"/>
      <c r="N201" s="112"/>
      <c r="O201" s="102"/>
    </row>
    <row r="202" ht="14.25" customHeight="1">
      <c r="A202" s="102"/>
      <c r="B202" s="102"/>
      <c r="C202" s="102"/>
      <c r="D202" s="102"/>
      <c r="E202" s="102"/>
      <c r="F202" s="102"/>
      <c r="G202" s="102"/>
      <c r="H202" s="102"/>
      <c r="I202" s="112"/>
      <c r="J202" s="112"/>
      <c r="K202" s="103" t="str">
        <f t="shared" si="1"/>
        <v/>
      </c>
      <c r="L202" s="102"/>
      <c r="M202" s="102"/>
      <c r="N202" s="112"/>
      <c r="O202" s="102"/>
    </row>
    <row r="203" ht="14.25" customHeight="1">
      <c r="A203" s="102"/>
      <c r="B203" s="102"/>
      <c r="C203" s="102"/>
      <c r="D203" s="102"/>
      <c r="E203" s="102"/>
      <c r="F203" s="102"/>
      <c r="G203" s="102"/>
      <c r="H203" s="102"/>
      <c r="I203" s="112"/>
      <c r="J203" s="112"/>
      <c r="K203" s="103" t="str">
        <f t="shared" si="1"/>
        <v/>
      </c>
      <c r="L203" s="102"/>
      <c r="M203" s="102"/>
      <c r="N203" s="112"/>
      <c r="O203" s="102"/>
    </row>
    <row r="204" ht="14.25" customHeight="1">
      <c r="A204" s="102"/>
      <c r="B204" s="102"/>
      <c r="C204" s="102"/>
      <c r="D204" s="102"/>
      <c r="E204" s="102"/>
      <c r="F204" s="102"/>
      <c r="G204" s="102"/>
      <c r="H204" s="102"/>
      <c r="I204" s="112"/>
      <c r="J204" s="112"/>
      <c r="K204" s="103" t="str">
        <f t="shared" si="1"/>
        <v/>
      </c>
      <c r="L204" s="102"/>
      <c r="M204" s="102"/>
      <c r="N204" s="112"/>
      <c r="O204" s="102"/>
    </row>
    <row r="205" ht="14.25" customHeight="1">
      <c r="A205" s="102"/>
      <c r="B205" s="102"/>
      <c r="C205" s="102"/>
      <c r="D205" s="102"/>
      <c r="E205" s="102"/>
      <c r="F205" s="102"/>
      <c r="G205" s="102"/>
      <c r="H205" s="102"/>
      <c r="I205" s="112"/>
      <c r="J205" s="112"/>
      <c r="K205" s="103" t="str">
        <f t="shared" si="1"/>
        <v/>
      </c>
      <c r="L205" s="102"/>
      <c r="M205" s="102"/>
      <c r="N205" s="112"/>
      <c r="O205" s="102"/>
    </row>
    <row r="206" ht="14.25" customHeight="1">
      <c r="A206" s="102"/>
      <c r="B206" s="102"/>
      <c r="C206" s="102"/>
      <c r="D206" s="102"/>
      <c r="E206" s="102"/>
      <c r="F206" s="102"/>
      <c r="G206" s="102"/>
      <c r="H206" s="102"/>
      <c r="I206" s="112"/>
      <c r="J206" s="112"/>
      <c r="K206" s="103" t="str">
        <f t="shared" si="1"/>
        <v/>
      </c>
      <c r="L206" s="102"/>
      <c r="M206" s="102"/>
      <c r="N206" s="112"/>
      <c r="O206" s="102"/>
    </row>
    <row r="207" ht="14.25" customHeight="1">
      <c r="A207" s="102"/>
      <c r="B207" s="102"/>
      <c r="C207" s="102"/>
      <c r="D207" s="102"/>
      <c r="E207" s="102"/>
      <c r="F207" s="102"/>
      <c r="G207" s="102"/>
      <c r="H207" s="102"/>
      <c r="I207" s="112"/>
      <c r="J207" s="112"/>
      <c r="K207" s="103" t="str">
        <f t="shared" si="1"/>
        <v/>
      </c>
      <c r="L207" s="102"/>
      <c r="M207" s="102"/>
      <c r="N207" s="112"/>
      <c r="O207" s="102"/>
    </row>
    <row r="208" ht="14.25" customHeight="1">
      <c r="A208" s="102"/>
      <c r="B208" s="102"/>
      <c r="C208" s="102"/>
      <c r="D208" s="102"/>
      <c r="E208" s="102"/>
      <c r="F208" s="102"/>
      <c r="G208" s="102"/>
      <c r="H208" s="102"/>
      <c r="I208" s="112"/>
      <c r="J208" s="112"/>
      <c r="K208" s="103" t="str">
        <f t="shared" si="1"/>
        <v/>
      </c>
      <c r="L208" s="102"/>
      <c r="M208" s="102"/>
      <c r="N208" s="112"/>
      <c r="O208" s="102"/>
    </row>
    <row r="209" ht="14.25" customHeight="1">
      <c r="A209" s="102"/>
      <c r="B209" s="102"/>
      <c r="C209" s="102"/>
      <c r="D209" s="102"/>
      <c r="E209" s="102"/>
      <c r="F209" s="102"/>
      <c r="G209" s="102"/>
      <c r="H209" s="102"/>
      <c r="I209" s="112"/>
      <c r="J209" s="112"/>
      <c r="K209" s="103" t="str">
        <f t="shared" si="1"/>
        <v/>
      </c>
      <c r="L209" s="102"/>
      <c r="M209" s="102"/>
      <c r="N209" s="112"/>
      <c r="O209" s="102"/>
    </row>
    <row r="210" ht="14.25" customHeight="1">
      <c r="A210" s="102"/>
      <c r="B210" s="102"/>
      <c r="C210" s="102"/>
      <c r="D210" s="102"/>
      <c r="E210" s="102"/>
      <c r="F210" s="102"/>
      <c r="G210" s="102"/>
      <c r="H210" s="102"/>
      <c r="I210" s="112"/>
      <c r="J210" s="112"/>
      <c r="K210" s="103" t="str">
        <f t="shared" si="1"/>
        <v/>
      </c>
      <c r="L210" s="102"/>
      <c r="M210" s="102"/>
      <c r="N210" s="112"/>
      <c r="O210" s="102"/>
    </row>
    <row r="211" ht="14.25" customHeight="1">
      <c r="A211" s="102"/>
      <c r="B211" s="102"/>
      <c r="C211" s="102"/>
      <c r="D211" s="102"/>
      <c r="E211" s="102"/>
      <c r="F211" s="102"/>
      <c r="G211" s="102"/>
      <c r="H211" s="102"/>
      <c r="I211" s="112"/>
      <c r="J211" s="112"/>
      <c r="K211" s="103" t="str">
        <f t="shared" si="1"/>
        <v/>
      </c>
      <c r="L211" s="102"/>
      <c r="M211" s="102"/>
      <c r="N211" s="112"/>
      <c r="O211" s="102"/>
    </row>
    <row r="212" ht="14.25" customHeight="1">
      <c r="A212" s="102"/>
      <c r="B212" s="102"/>
      <c r="C212" s="102"/>
      <c r="D212" s="102"/>
      <c r="E212" s="102"/>
      <c r="F212" s="102"/>
      <c r="G212" s="102"/>
      <c r="H212" s="102"/>
      <c r="I212" s="112"/>
      <c r="J212" s="112"/>
      <c r="K212" s="103" t="str">
        <f t="shared" si="1"/>
        <v/>
      </c>
      <c r="L212" s="102"/>
      <c r="M212" s="102"/>
      <c r="N212" s="112"/>
      <c r="O212" s="102"/>
    </row>
    <row r="213" ht="14.25" customHeight="1">
      <c r="A213" s="102"/>
      <c r="B213" s="102"/>
      <c r="C213" s="102"/>
      <c r="D213" s="102"/>
      <c r="E213" s="102"/>
      <c r="F213" s="102"/>
      <c r="G213" s="102"/>
      <c r="H213" s="102"/>
      <c r="I213" s="112"/>
      <c r="J213" s="112"/>
      <c r="K213" s="103" t="str">
        <f t="shared" si="1"/>
        <v/>
      </c>
      <c r="L213" s="102"/>
      <c r="M213" s="102"/>
      <c r="N213" s="112"/>
      <c r="O213" s="102"/>
    </row>
    <row r="214" ht="14.25" customHeight="1">
      <c r="A214" s="102"/>
      <c r="B214" s="102"/>
      <c r="C214" s="102"/>
      <c r="D214" s="102"/>
      <c r="E214" s="102"/>
      <c r="F214" s="102"/>
      <c r="G214" s="102"/>
      <c r="H214" s="102"/>
      <c r="I214" s="112"/>
      <c r="J214" s="112"/>
      <c r="K214" s="103" t="str">
        <f t="shared" si="1"/>
        <v/>
      </c>
      <c r="L214" s="102"/>
      <c r="M214" s="102"/>
      <c r="N214" s="112"/>
      <c r="O214" s="102"/>
    </row>
    <row r="215" ht="14.25" customHeight="1">
      <c r="A215" s="102"/>
      <c r="B215" s="102"/>
      <c r="C215" s="102"/>
      <c r="D215" s="102"/>
      <c r="E215" s="102"/>
      <c r="F215" s="102"/>
      <c r="G215" s="102"/>
      <c r="H215" s="102"/>
      <c r="I215" s="112"/>
      <c r="J215" s="112"/>
      <c r="K215" s="103" t="str">
        <f t="shared" si="1"/>
        <v/>
      </c>
      <c r="L215" s="102"/>
      <c r="M215" s="102"/>
      <c r="N215" s="112"/>
      <c r="O215" s="102"/>
    </row>
    <row r="216" ht="14.25" customHeight="1">
      <c r="A216" s="102"/>
      <c r="B216" s="102"/>
      <c r="C216" s="102"/>
      <c r="D216" s="102"/>
      <c r="E216" s="102"/>
      <c r="F216" s="102"/>
      <c r="G216" s="102"/>
      <c r="H216" s="102"/>
      <c r="I216" s="112"/>
      <c r="J216" s="112"/>
      <c r="K216" s="103" t="str">
        <f t="shared" si="1"/>
        <v/>
      </c>
      <c r="L216" s="102"/>
      <c r="M216" s="102"/>
      <c r="N216" s="112"/>
      <c r="O216" s="102"/>
    </row>
    <row r="217" ht="14.25" customHeight="1">
      <c r="A217" s="102"/>
      <c r="B217" s="102"/>
      <c r="C217" s="102"/>
      <c r="D217" s="102"/>
      <c r="E217" s="102"/>
      <c r="F217" s="102"/>
      <c r="G217" s="102"/>
      <c r="H217" s="102"/>
      <c r="I217" s="112"/>
      <c r="J217" s="112"/>
      <c r="K217" s="103" t="str">
        <f t="shared" si="1"/>
        <v/>
      </c>
      <c r="L217" s="102"/>
      <c r="M217" s="102"/>
      <c r="N217" s="112"/>
      <c r="O217" s="102"/>
    </row>
    <row r="218" ht="14.25" customHeight="1">
      <c r="A218" s="102"/>
      <c r="B218" s="102"/>
      <c r="C218" s="102"/>
      <c r="D218" s="102"/>
      <c r="E218" s="102"/>
      <c r="F218" s="102"/>
      <c r="G218" s="102"/>
      <c r="H218" s="102"/>
      <c r="I218" s="112"/>
      <c r="J218" s="112"/>
      <c r="K218" s="103" t="str">
        <f t="shared" si="1"/>
        <v/>
      </c>
      <c r="L218" s="102"/>
      <c r="M218" s="102"/>
      <c r="N218" s="112"/>
      <c r="O218" s="102"/>
    </row>
    <row r="219" ht="14.25" customHeight="1">
      <c r="A219" s="102"/>
      <c r="B219" s="102"/>
      <c r="C219" s="102"/>
      <c r="D219" s="102"/>
      <c r="E219" s="102"/>
      <c r="F219" s="102"/>
      <c r="G219" s="102"/>
      <c r="H219" s="102"/>
      <c r="I219" s="112"/>
      <c r="J219" s="112"/>
      <c r="K219" s="103" t="str">
        <f t="shared" si="1"/>
        <v/>
      </c>
      <c r="L219" s="102"/>
      <c r="M219" s="102"/>
      <c r="N219" s="112"/>
      <c r="O219" s="102"/>
    </row>
    <row r="220" ht="14.25" customHeight="1">
      <c r="A220" s="102"/>
      <c r="B220" s="102"/>
      <c r="C220" s="102"/>
      <c r="D220" s="102"/>
      <c r="E220" s="102"/>
      <c r="F220" s="102"/>
      <c r="G220" s="102"/>
      <c r="H220" s="102"/>
      <c r="I220" s="112"/>
      <c r="J220" s="112"/>
      <c r="K220" s="103" t="str">
        <f t="shared" si="1"/>
        <v/>
      </c>
      <c r="L220" s="102"/>
      <c r="M220" s="102"/>
      <c r="N220" s="112"/>
      <c r="O220" s="102"/>
    </row>
    <row r="221" ht="14.25" customHeight="1">
      <c r="A221" s="102"/>
      <c r="B221" s="102"/>
      <c r="C221" s="102"/>
      <c r="D221" s="102"/>
      <c r="E221" s="102"/>
      <c r="F221" s="102"/>
      <c r="G221" s="102"/>
      <c r="H221" s="102"/>
      <c r="I221" s="112"/>
      <c r="J221" s="112"/>
      <c r="K221" s="103" t="str">
        <f t="shared" si="1"/>
        <v/>
      </c>
      <c r="L221" s="102"/>
      <c r="M221" s="102"/>
      <c r="N221" s="112"/>
      <c r="O221" s="102"/>
    </row>
    <row r="222" ht="14.25" customHeight="1">
      <c r="A222" s="102"/>
      <c r="B222" s="102"/>
      <c r="C222" s="102"/>
      <c r="D222" s="102"/>
      <c r="E222" s="102"/>
      <c r="F222" s="102"/>
      <c r="G222" s="102"/>
      <c r="H222" s="102"/>
      <c r="I222" s="112"/>
      <c r="J222" s="112"/>
      <c r="K222" s="103" t="str">
        <f t="shared" si="1"/>
        <v/>
      </c>
      <c r="L222" s="102"/>
      <c r="M222" s="102"/>
      <c r="N222" s="112"/>
      <c r="O222" s="102"/>
    </row>
    <row r="223" ht="14.25" customHeight="1">
      <c r="A223" s="102"/>
      <c r="B223" s="102"/>
      <c r="C223" s="102"/>
      <c r="D223" s="102"/>
      <c r="E223" s="102"/>
      <c r="F223" s="102"/>
      <c r="G223" s="102"/>
      <c r="H223" s="102"/>
      <c r="I223" s="112"/>
      <c r="J223" s="112"/>
      <c r="K223" s="103" t="str">
        <f t="shared" si="1"/>
        <v/>
      </c>
      <c r="L223" s="102"/>
      <c r="M223" s="102"/>
      <c r="N223" s="112"/>
      <c r="O223" s="102"/>
    </row>
    <row r="224" ht="14.25" customHeight="1">
      <c r="A224" s="102"/>
      <c r="B224" s="102"/>
      <c r="C224" s="102"/>
      <c r="D224" s="102"/>
      <c r="E224" s="102"/>
      <c r="F224" s="102"/>
      <c r="G224" s="102"/>
      <c r="H224" s="102"/>
      <c r="I224" s="112"/>
      <c r="J224" s="112"/>
      <c r="K224" s="103" t="str">
        <f t="shared" si="1"/>
        <v/>
      </c>
      <c r="L224" s="102"/>
      <c r="M224" s="102"/>
      <c r="N224" s="112"/>
      <c r="O224" s="102"/>
    </row>
    <row r="225" ht="14.25" customHeight="1">
      <c r="A225" s="102"/>
      <c r="B225" s="102"/>
      <c r="C225" s="102"/>
      <c r="D225" s="102"/>
      <c r="E225" s="102"/>
      <c r="F225" s="102"/>
      <c r="G225" s="102"/>
      <c r="H225" s="102"/>
      <c r="I225" s="112"/>
      <c r="J225" s="112"/>
      <c r="K225" s="103" t="str">
        <f t="shared" si="1"/>
        <v/>
      </c>
      <c r="L225" s="102"/>
      <c r="M225" s="102"/>
      <c r="N225" s="112"/>
      <c r="O225" s="102"/>
    </row>
    <row r="226" ht="14.25" customHeight="1">
      <c r="A226" s="102"/>
      <c r="B226" s="102"/>
      <c r="C226" s="102"/>
      <c r="D226" s="102"/>
      <c r="E226" s="102"/>
      <c r="F226" s="102"/>
      <c r="G226" s="102"/>
      <c r="H226" s="102"/>
      <c r="I226" s="112"/>
      <c r="J226" s="112"/>
      <c r="K226" s="103" t="str">
        <f t="shared" si="1"/>
        <v/>
      </c>
      <c r="L226" s="102"/>
      <c r="M226" s="102"/>
      <c r="N226" s="112"/>
      <c r="O226" s="102"/>
    </row>
    <row r="227" ht="14.25" customHeight="1">
      <c r="A227" s="102"/>
      <c r="B227" s="102"/>
      <c r="C227" s="102"/>
      <c r="D227" s="102"/>
      <c r="E227" s="102"/>
      <c r="F227" s="102"/>
      <c r="G227" s="102"/>
      <c r="H227" s="102"/>
      <c r="I227" s="112"/>
      <c r="J227" s="112"/>
      <c r="K227" s="103" t="str">
        <f t="shared" si="1"/>
        <v/>
      </c>
      <c r="L227" s="102"/>
      <c r="M227" s="102"/>
      <c r="N227" s="112"/>
      <c r="O227" s="102"/>
    </row>
    <row r="228" ht="14.25" customHeight="1">
      <c r="A228" s="102"/>
      <c r="B228" s="102"/>
      <c r="C228" s="102"/>
      <c r="D228" s="102"/>
      <c r="E228" s="102"/>
      <c r="F228" s="102"/>
      <c r="G228" s="102"/>
      <c r="H228" s="102"/>
      <c r="I228" s="112"/>
      <c r="J228" s="112"/>
      <c r="K228" s="103" t="str">
        <f t="shared" si="1"/>
        <v/>
      </c>
      <c r="L228" s="102"/>
      <c r="M228" s="102"/>
      <c r="N228" s="112"/>
      <c r="O228" s="102"/>
    </row>
    <row r="229" ht="14.25" customHeight="1">
      <c r="A229" s="102"/>
      <c r="B229" s="102"/>
      <c r="C229" s="102"/>
      <c r="D229" s="102"/>
      <c r="E229" s="102"/>
      <c r="F229" s="102"/>
      <c r="G229" s="102"/>
      <c r="H229" s="102"/>
      <c r="I229" s="112"/>
      <c r="J229" s="112"/>
      <c r="K229" s="103" t="str">
        <f t="shared" si="1"/>
        <v/>
      </c>
      <c r="L229" s="102"/>
      <c r="M229" s="102"/>
      <c r="N229" s="112"/>
      <c r="O229" s="102"/>
    </row>
    <row r="230" ht="14.25" customHeight="1">
      <c r="A230" s="102"/>
      <c r="B230" s="102"/>
      <c r="C230" s="102"/>
      <c r="D230" s="102"/>
      <c r="E230" s="102"/>
      <c r="F230" s="102"/>
      <c r="G230" s="102"/>
      <c r="H230" s="102"/>
      <c r="I230" s="112"/>
      <c r="J230" s="112"/>
      <c r="K230" s="103" t="str">
        <f t="shared" si="1"/>
        <v/>
      </c>
      <c r="L230" s="102"/>
      <c r="M230" s="102"/>
      <c r="N230" s="112"/>
      <c r="O230" s="102"/>
    </row>
    <row r="231" ht="14.25" customHeight="1">
      <c r="A231" s="102"/>
      <c r="B231" s="102"/>
      <c r="C231" s="102"/>
      <c r="D231" s="102"/>
      <c r="E231" s="102"/>
      <c r="F231" s="102"/>
      <c r="G231" s="102"/>
      <c r="H231" s="102"/>
      <c r="I231" s="112"/>
      <c r="J231" s="112"/>
      <c r="K231" s="103" t="str">
        <f t="shared" si="1"/>
        <v/>
      </c>
      <c r="L231" s="102"/>
      <c r="M231" s="102"/>
      <c r="N231" s="112"/>
      <c r="O231" s="102"/>
    </row>
    <row r="232" ht="14.25" customHeight="1">
      <c r="A232" s="102"/>
      <c r="B232" s="102"/>
      <c r="C232" s="102"/>
      <c r="D232" s="102"/>
      <c r="E232" s="102"/>
      <c r="F232" s="102"/>
      <c r="G232" s="102"/>
      <c r="H232" s="102"/>
      <c r="I232" s="112"/>
      <c r="J232" s="112"/>
      <c r="K232" s="103" t="str">
        <f t="shared" si="1"/>
        <v/>
      </c>
      <c r="L232" s="102"/>
      <c r="M232" s="102"/>
      <c r="N232" s="112"/>
      <c r="O232" s="102"/>
    </row>
    <row r="233" ht="14.25" customHeight="1">
      <c r="A233" s="102"/>
      <c r="B233" s="102"/>
      <c r="C233" s="102"/>
      <c r="D233" s="102"/>
      <c r="E233" s="102"/>
      <c r="F233" s="102"/>
      <c r="G233" s="102"/>
      <c r="H233" s="102"/>
      <c r="I233" s="112"/>
      <c r="J233" s="112"/>
      <c r="K233" s="103" t="str">
        <f t="shared" si="1"/>
        <v/>
      </c>
      <c r="L233" s="102"/>
      <c r="M233" s="102"/>
      <c r="N233" s="112"/>
      <c r="O233" s="102"/>
    </row>
    <row r="234" ht="14.25" customHeight="1">
      <c r="A234" s="102"/>
      <c r="B234" s="102"/>
      <c r="C234" s="102"/>
      <c r="D234" s="102"/>
      <c r="E234" s="102"/>
      <c r="F234" s="102"/>
      <c r="G234" s="102"/>
      <c r="H234" s="102"/>
      <c r="I234" s="112"/>
      <c r="J234" s="112"/>
      <c r="K234" s="103" t="str">
        <f t="shared" si="1"/>
        <v/>
      </c>
      <c r="L234" s="102"/>
      <c r="M234" s="102"/>
      <c r="N234" s="112"/>
      <c r="O234" s="102"/>
    </row>
    <row r="235" ht="14.25" customHeight="1">
      <c r="A235" s="102"/>
      <c r="B235" s="102"/>
      <c r="C235" s="102"/>
      <c r="D235" s="102"/>
      <c r="E235" s="102"/>
      <c r="F235" s="102"/>
      <c r="G235" s="102"/>
      <c r="H235" s="102"/>
      <c r="I235" s="112"/>
      <c r="J235" s="112"/>
      <c r="K235" s="103" t="str">
        <f t="shared" si="1"/>
        <v/>
      </c>
      <c r="L235" s="102"/>
      <c r="M235" s="102"/>
      <c r="N235" s="112"/>
      <c r="O235" s="102"/>
    </row>
    <row r="236" ht="14.25" customHeight="1">
      <c r="A236" s="102"/>
      <c r="B236" s="102"/>
      <c r="C236" s="102"/>
      <c r="D236" s="102"/>
      <c r="E236" s="102"/>
      <c r="F236" s="102"/>
      <c r="G236" s="102"/>
      <c r="H236" s="102"/>
      <c r="I236" s="112"/>
      <c r="J236" s="112"/>
      <c r="K236" s="103" t="str">
        <f t="shared" si="1"/>
        <v/>
      </c>
      <c r="L236" s="102"/>
      <c r="M236" s="102"/>
      <c r="N236" s="112"/>
      <c r="O236" s="102"/>
    </row>
    <row r="237" ht="14.25" customHeight="1">
      <c r="A237" s="102"/>
      <c r="B237" s="102"/>
      <c r="C237" s="102"/>
      <c r="D237" s="102"/>
      <c r="E237" s="102"/>
      <c r="F237" s="102"/>
      <c r="G237" s="102"/>
      <c r="H237" s="102"/>
      <c r="I237" s="112"/>
      <c r="J237" s="112"/>
      <c r="K237" s="103" t="str">
        <f t="shared" si="1"/>
        <v/>
      </c>
      <c r="L237" s="102"/>
      <c r="M237" s="102"/>
      <c r="N237" s="112"/>
      <c r="O237" s="102"/>
    </row>
    <row r="238" ht="14.25" customHeight="1">
      <c r="A238" s="102"/>
      <c r="B238" s="102"/>
      <c r="C238" s="102"/>
      <c r="D238" s="102"/>
      <c r="E238" s="102"/>
      <c r="F238" s="102"/>
      <c r="G238" s="102"/>
      <c r="H238" s="102"/>
      <c r="I238" s="112"/>
      <c r="J238" s="112"/>
      <c r="K238" s="103" t="str">
        <f t="shared" si="1"/>
        <v/>
      </c>
      <c r="L238" s="102"/>
      <c r="M238" s="102"/>
      <c r="N238" s="112"/>
      <c r="O238" s="102"/>
    </row>
    <row r="239" ht="14.25" customHeight="1">
      <c r="A239" s="102"/>
      <c r="B239" s="102"/>
      <c r="C239" s="102"/>
      <c r="D239" s="102"/>
      <c r="E239" s="102"/>
      <c r="F239" s="102"/>
      <c r="G239" s="102"/>
      <c r="H239" s="102"/>
      <c r="I239" s="112"/>
      <c r="J239" s="112"/>
      <c r="K239" s="103" t="str">
        <f t="shared" si="1"/>
        <v/>
      </c>
      <c r="L239" s="102"/>
      <c r="M239" s="102"/>
      <c r="N239" s="112"/>
      <c r="O239" s="102"/>
    </row>
    <row r="240" ht="14.25" customHeight="1">
      <c r="A240" s="102"/>
      <c r="B240" s="102"/>
      <c r="C240" s="102"/>
      <c r="D240" s="102"/>
      <c r="E240" s="102"/>
      <c r="F240" s="102"/>
      <c r="G240" s="102"/>
      <c r="H240" s="102"/>
      <c r="I240" s="112"/>
      <c r="J240" s="112"/>
      <c r="K240" s="103" t="str">
        <f t="shared" si="1"/>
        <v/>
      </c>
      <c r="L240" s="102"/>
      <c r="M240" s="102"/>
      <c r="N240" s="112"/>
      <c r="O240" s="102"/>
    </row>
    <row r="241" ht="14.25" customHeight="1">
      <c r="A241" s="102"/>
      <c r="B241" s="102"/>
      <c r="C241" s="102"/>
      <c r="D241" s="102"/>
      <c r="E241" s="102"/>
      <c r="F241" s="102"/>
      <c r="G241" s="102"/>
      <c r="H241" s="102"/>
      <c r="I241" s="112"/>
      <c r="J241" s="112"/>
      <c r="K241" s="103" t="str">
        <f t="shared" si="1"/>
        <v/>
      </c>
      <c r="L241" s="102"/>
      <c r="M241" s="102"/>
      <c r="N241" s="112"/>
      <c r="O241" s="102"/>
    </row>
    <row r="242" ht="14.25" customHeight="1">
      <c r="A242" s="102"/>
      <c r="B242" s="102"/>
      <c r="C242" s="102"/>
      <c r="D242" s="102"/>
      <c r="E242" s="102"/>
      <c r="F242" s="102"/>
      <c r="G242" s="102"/>
      <c r="H242" s="102"/>
      <c r="I242" s="112"/>
      <c r="J242" s="112"/>
      <c r="K242" s="103" t="str">
        <f t="shared" si="1"/>
        <v/>
      </c>
      <c r="L242" s="102"/>
      <c r="M242" s="102"/>
      <c r="N242" s="112"/>
      <c r="O242" s="102"/>
    </row>
    <row r="243" ht="14.25" customHeight="1">
      <c r="A243" s="102"/>
      <c r="B243" s="102"/>
      <c r="C243" s="102"/>
      <c r="D243" s="102"/>
      <c r="E243" s="102"/>
      <c r="F243" s="102"/>
      <c r="G243" s="102"/>
      <c r="H243" s="102"/>
      <c r="I243" s="112"/>
      <c r="J243" s="112"/>
      <c r="K243" s="103" t="str">
        <f t="shared" si="1"/>
        <v/>
      </c>
      <c r="L243" s="102"/>
      <c r="M243" s="102"/>
      <c r="N243" s="112"/>
      <c r="O243" s="102"/>
    </row>
    <row r="244" ht="14.25" customHeight="1">
      <c r="A244" s="102"/>
      <c r="B244" s="102"/>
      <c r="C244" s="102"/>
      <c r="D244" s="102"/>
      <c r="E244" s="102"/>
      <c r="F244" s="102"/>
      <c r="G244" s="102"/>
      <c r="H244" s="102"/>
      <c r="I244" s="112"/>
      <c r="J244" s="112"/>
      <c r="K244" s="103" t="str">
        <f t="shared" si="1"/>
        <v/>
      </c>
      <c r="L244" s="102"/>
      <c r="M244" s="102"/>
      <c r="N244" s="112"/>
      <c r="O244" s="102"/>
    </row>
    <row r="245" ht="14.25" customHeight="1">
      <c r="A245" s="102"/>
      <c r="B245" s="102"/>
      <c r="C245" s="102"/>
      <c r="D245" s="102"/>
      <c r="E245" s="102"/>
      <c r="F245" s="102"/>
      <c r="G245" s="102"/>
      <c r="H245" s="102"/>
      <c r="I245" s="112"/>
      <c r="J245" s="112"/>
      <c r="K245" s="103" t="str">
        <f t="shared" si="1"/>
        <v/>
      </c>
      <c r="L245" s="102"/>
      <c r="M245" s="102"/>
      <c r="N245" s="112"/>
      <c r="O245" s="102"/>
    </row>
    <row r="246" ht="14.25" customHeight="1">
      <c r="A246" s="102"/>
      <c r="B246" s="102"/>
      <c r="C246" s="102"/>
      <c r="D246" s="102"/>
      <c r="E246" s="102"/>
      <c r="F246" s="102"/>
      <c r="G246" s="102"/>
      <c r="H246" s="102"/>
      <c r="I246" s="112"/>
      <c r="J246" s="112"/>
      <c r="K246" s="103" t="str">
        <f t="shared" si="1"/>
        <v/>
      </c>
      <c r="L246" s="102"/>
      <c r="M246" s="102"/>
      <c r="N246" s="112"/>
      <c r="O246" s="102"/>
    </row>
    <row r="247" ht="14.25" customHeight="1">
      <c r="A247" s="102"/>
      <c r="B247" s="102"/>
      <c r="C247" s="102"/>
      <c r="D247" s="102"/>
      <c r="E247" s="102"/>
      <c r="F247" s="102"/>
      <c r="G247" s="102"/>
      <c r="H247" s="102"/>
      <c r="I247" s="112"/>
      <c r="J247" s="112"/>
      <c r="K247" s="103" t="str">
        <f t="shared" si="1"/>
        <v/>
      </c>
      <c r="L247" s="102"/>
      <c r="M247" s="102"/>
      <c r="N247" s="112"/>
      <c r="O247" s="102"/>
    </row>
    <row r="248" ht="14.25" customHeight="1">
      <c r="A248" s="102"/>
      <c r="B248" s="102"/>
      <c r="C248" s="102"/>
      <c r="D248" s="102"/>
      <c r="E248" s="102"/>
      <c r="F248" s="102"/>
      <c r="G248" s="102"/>
      <c r="H248" s="102"/>
      <c r="I248" s="112"/>
      <c r="J248" s="112"/>
      <c r="K248" s="103" t="str">
        <f t="shared" si="1"/>
        <v/>
      </c>
      <c r="L248" s="102"/>
      <c r="M248" s="102"/>
      <c r="N248" s="112"/>
      <c r="O248" s="102"/>
    </row>
    <row r="249" ht="14.25" customHeight="1">
      <c r="A249" s="102"/>
      <c r="B249" s="102"/>
      <c r="C249" s="102"/>
      <c r="D249" s="102"/>
      <c r="E249" s="102"/>
      <c r="F249" s="102"/>
      <c r="G249" s="102"/>
      <c r="H249" s="102"/>
      <c r="I249" s="112"/>
      <c r="J249" s="112"/>
      <c r="K249" s="103" t="str">
        <f t="shared" si="1"/>
        <v/>
      </c>
      <c r="L249" s="102"/>
      <c r="M249" s="102"/>
      <c r="N249" s="112"/>
      <c r="O249" s="102"/>
    </row>
    <row r="250" ht="14.25" customHeight="1">
      <c r="A250" s="102"/>
      <c r="B250" s="102"/>
      <c r="C250" s="102"/>
      <c r="D250" s="102"/>
      <c r="E250" s="102"/>
      <c r="F250" s="102"/>
      <c r="G250" s="102"/>
      <c r="H250" s="102"/>
      <c r="I250" s="112"/>
      <c r="J250" s="112"/>
      <c r="K250" s="103" t="str">
        <f t="shared" si="1"/>
        <v/>
      </c>
      <c r="L250" s="102"/>
      <c r="M250" s="102"/>
      <c r="N250" s="112"/>
      <c r="O250" s="102"/>
    </row>
    <row r="251" ht="14.25" customHeight="1">
      <c r="A251" s="102"/>
      <c r="B251" s="102"/>
      <c r="C251" s="102"/>
      <c r="D251" s="102"/>
      <c r="E251" s="102"/>
      <c r="F251" s="102"/>
      <c r="G251" s="102"/>
      <c r="H251" s="102"/>
      <c r="I251" s="112"/>
      <c r="J251" s="112"/>
      <c r="K251" s="103" t="str">
        <f t="shared" si="1"/>
        <v/>
      </c>
      <c r="L251" s="102"/>
      <c r="M251" s="102"/>
      <c r="N251" s="112"/>
      <c r="O251" s="102"/>
    </row>
    <row r="252" ht="14.25" customHeight="1">
      <c r="A252" s="102"/>
      <c r="B252" s="102"/>
      <c r="C252" s="102"/>
      <c r="D252" s="102"/>
      <c r="E252" s="102"/>
      <c r="F252" s="102"/>
      <c r="G252" s="102"/>
      <c r="H252" s="102"/>
      <c r="I252" s="112"/>
      <c r="J252" s="112"/>
      <c r="K252" s="103" t="str">
        <f t="shared" si="1"/>
        <v/>
      </c>
      <c r="L252" s="102"/>
      <c r="M252" s="102"/>
      <c r="N252" s="112"/>
      <c r="O252" s="102"/>
    </row>
    <row r="253" ht="14.25" customHeight="1">
      <c r="A253" s="102"/>
      <c r="B253" s="102"/>
      <c r="C253" s="102"/>
      <c r="D253" s="102"/>
      <c r="E253" s="102"/>
      <c r="F253" s="102"/>
      <c r="G253" s="102"/>
      <c r="H253" s="102"/>
      <c r="I253" s="112"/>
      <c r="J253" s="112"/>
      <c r="K253" s="103" t="str">
        <f t="shared" si="1"/>
        <v/>
      </c>
      <c r="L253" s="102"/>
      <c r="M253" s="102"/>
      <c r="N253" s="112"/>
      <c r="O253" s="102"/>
    </row>
    <row r="254" ht="14.25" customHeight="1">
      <c r="A254" s="102"/>
      <c r="B254" s="102"/>
      <c r="C254" s="102"/>
      <c r="D254" s="102"/>
      <c r="E254" s="102"/>
      <c r="F254" s="102"/>
      <c r="G254" s="102"/>
      <c r="H254" s="102"/>
      <c r="I254" s="112"/>
      <c r="J254" s="112"/>
      <c r="K254" s="103" t="str">
        <f t="shared" si="1"/>
        <v/>
      </c>
      <c r="L254" s="102"/>
      <c r="M254" s="102"/>
      <c r="N254" s="112"/>
      <c r="O254" s="102"/>
    </row>
    <row r="255" ht="14.25" customHeight="1">
      <c r="A255" s="102"/>
      <c r="B255" s="102"/>
      <c r="C255" s="102"/>
      <c r="D255" s="102"/>
      <c r="E255" s="102"/>
      <c r="F255" s="102"/>
      <c r="G255" s="102"/>
      <c r="H255" s="102"/>
      <c r="I255" s="112"/>
      <c r="J255" s="112"/>
      <c r="K255" s="103" t="str">
        <f t="shared" si="1"/>
        <v/>
      </c>
      <c r="L255" s="102"/>
      <c r="M255" s="102"/>
      <c r="N255" s="112"/>
      <c r="O255" s="102"/>
    </row>
    <row r="256" ht="14.25" customHeight="1">
      <c r="A256" s="102"/>
      <c r="B256" s="102"/>
      <c r="C256" s="102"/>
      <c r="D256" s="102"/>
      <c r="E256" s="102"/>
      <c r="F256" s="102"/>
      <c r="G256" s="102"/>
      <c r="H256" s="102"/>
      <c r="I256" s="112"/>
      <c r="J256" s="112"/>
      <c r="K256" s="103" t="str">
        <f t="shared" si="1"/>
        <v/>
      </c>
      <c r="L256" s="102"/>
      <c r="M256" s="102"/>
      <c r="N256" s="112"/>
      <c r="O256" s="102"/>
    </row>
    <row r="257" ht="14.25" customHeight="1">
      <c r="A257" s="102"/>
      <c r="B257" s="102"/>
      <c r="C257" s="102"/>
      <c r="D257" s="102"/>
      <c r="E257" s="102"/>
      <c r="F257" s="102"/>
      <c r="G257" s="102"/>
      <c r="H257" s="102"/>
      <c r="I257" s="112"/>
      <c r="J257" s="112"/>
      <c r="K257" s="103" t="str">
        <f t="shared" si="1"/>
        <v/>
      </c>
      <c r="L257" s="102"/>
      <c r="M257" s="102"/>
      <c r="N257" s="112"/>
      <c r="O257" s="102"/>
    </row>
    <row r="258" ht="14.25" customHeight="1">
      <c r="A258" s="102"/>
      <c r="B258" s="102"/>
      <c r="C258" s="102"/>
      <c r="D258" s="102"/>
      <c r="E258" s="102"/>
      <c r="F258" s="102"/>
      <c r="G258" s="102"/>
      <c r="H258" s="102"/>
      <c r="I258" s="112"/>
      <c r="J258" s="112"/>
      <c r="K258" s="103" t="str">
        <f t="shared" si="1"/>
        <v/>
      </c>
      <c r="L258" s="102"/>
      <c r="M258" s="102"/>
      <c r="N258" s="112"/>
      <c r="O258" s="102"/>
    </row>
    <row r="259" ht="14.25" customHeight="1">
      <c r="A259" s="102"/>
      <c r="B259" s="102"/>
      <c r="C259" s="102"/>
      <c r="D259" s="102"/>
      <c r="E259" s="102"/>
      <c r="F259" s="102"/>
      <c r="G259" s="102"/>
      <c r="H259" s="102"/>
      <c r="I259" s="112"/>
      <c r="J259" s="112"/>
      <c r="K259" s="103" t="str">
        <f t="shared" si="1"/>
        <v/>
      </c>
      <c r="L259" s="102"/>
      <c r="M259" s="102"/>
      <c r="N259" s="112"/>
      <c r="O259" s="102"/>
    </row>
    <row r="260" ht="14.25" customHeight="1">
      <c r="A260" s="102"/>
      <c r="B260" s="102"/>
      <c r="C260" s="102"/>
      <c r="D260" s="102"/>
      <c r="E260" s="102"/>
      <c r="F260" s="102"/>
      <c r="G260" s="102"/>
      <c r="H260" s="102"/>
      <c r="I260" s="112"/>
      <c r="J260" s="112"/>
      <c r="K260" s="103" t="str">
        <f t="shared" si="1"/>
        <v/>
      </c>
      <c r="L260" s="102"/>
      <c r="M260" s="102"/>
      <c r="N260" s="112"/>
      <c r="O260" s="102"/>
    </row>
    <row r="261" ht="14.25" customHeight="1">
      <c r="A261" s="102"/>
      <c r="B261" s="102"/>
      <c r="C261" s="102"/>
      <c r="D261" s="102"/>
      <c r="E261" s="102"/>
      <c r="F261" s="102"/>
      <c r="G261" s="102"/>
      <c r="H261" s="102"/>
      <c r="I261" s="112"/>
      <c r="J261" s="112"/>
      <c r="K261" s="103" t="str">
        <f t="shared" si="1"/>
        <v/>
      </c>
      <c r="L261" s="102"/>
      <c r="M261" s="102"/>
      <c r="N261" s="112"/>
      <c r="O261" s="102"/>
    </row>
    <row r="262" ht="14.25" customHeight="1">
      <c r="A262" s="102"/>
      <c r="B262" s="102"/>
      <c r="C262" s="102"/>
      <c r="D262" s="102"/>
      <c r="E262" s="102"/>
      <c r="F262" s="102"/>
      <c r="G262" s="102"/>
      <c r="H262" s="102"/>
      <c r="I262" s="112"/>
      <c r="J262" s="112"/>
      <c r="K262" s="103" t="str">
        <f t="shared" si="1"/>
        <v/>
      </c>
      <c r="L262" s="102"/>
      <c r="M262" s="102"/>
      <c r="N262" s="112"/>
      <c r="O262" s="102"/>
    </row>
    <row r="263" ht="14.25" customHeight="1">
      <c r="A263" s="102"/>
      <c r="B263" s="102"/>
      <c r="C263" s="102"/>
      <c r="D263" s="102"/>
      <c r="E263" s="102"/>
      <c r="F263" s="102"/>
      <c r="G263" s="102"/>
      <c r="H263" s="102"/>
      <c r="I263" s="112"/>
      <c r="J263" s="112"/>
      <c r="K263" s="103" t="str">
        <f t="shared" si="1"/>
        <v/>
      </c>
      <c r="L263" s="102"/>
      <c r="M263" s="102"/>
      <c r="N263" s="112"/>
      <c r="O263" s="102"/>
    </row>
    <row r="264" ht="14.25" customHeight="1">
      <c r="A264" s="102"/>
      <c r="B264" s="102"/>
      <c r="C264" s="102"/>
      <c r="D264" s="102"/>
      <c r="E264" s="102"/>
      <c r="F264" s="102"/>
      <c r="G264" s="102"/>
      <c r="H264" s="102"/>
      <c r="I264" s="112"/>
      <c r="J264" s="112"/>
      <c r="K264" s="103" t="str">
        <f t="shared" si="1"/>
        <v/>
      </c>
      <c r="L264" s="102"/>
      <c r="M264" s="102"/>
      <c r="N264" s="112"/>
      <c r="O264" s="102"/>
    </row>
    <row r="265" ht="14.25" customHeight="1">
      <c r="A265" s="102"/>
      <c r="B265" s="102"/>
      <c r="C265" s="102"/>
      <c r="D265" s="102"/>
      <c r="E265" s="102"/>
      <c r="F265" s="102"/>
      <c r="G265" s="102"/>
      <c r="H265" s="102"/>
      <c r="I265" s="112"/>
      <c r="J265" s="112"/>
      <c r="K265" s="103" t="str">
        <f t="shared" si="1"/>
        <v/>
      </c>
      <c r="L265" s="102"/>
      <c r="M265" s="102"/>
      <c r="N265" s="112"/>
      <c r="O265" s="102"/>
    </row>
    <row r="266" ht="14.25" customHeight="1">
      <c r="A266" s="102"/>
      <c r="B266" s="102"/>
      <c r="C266" s="102"/>
      <c r="D266" s="102"/>
      <c r="E266" s="102"/>
      <c r="F266" s="102"/>
      <c r="G266" s="102"/>
      <c r="H266" s="102"/>
      <c r="I266" s="112"/>
      <c r="J266" s="112"/>
      <c r="K266" s="103" t="str">
        <f t="shared" si="1"/>
        <v/>
      </c>
      <c r="L266" s="102"/>
      <c r="M266" s="102"/>
      <c r="N266" s="112"/>
      <c r="O266" s="102"/>
    </row>
    <row r="267" ht="14.25" customHeight="1">
      <c r="A267" s="102"/>
      <c r="B267" s="102"/>
      <c r="C267" s="102"/>
      <c r="D267" s="102"/>
      <c r="E267" s="102"/>
      <c r="F267" s="102"/>
      <c r="G267" s="102"/>
      <c r="H267" s="102"/>
      <c r="I267" s="112"/>
      <c r="J267" s="112"/>
      <c r="K267" s="103" t="str">
        <f t="shared" si="1"/>
        <v/>
      </c>
      <c r="L267" s="102"/>
      <c r="M267" s="102"/>
      <c r="N267" s="112"/>
      <c r="O267" s="102"/>
    </row>
    <row r="268" ht="14.25" customHeight="1">
      <c r="A268" s="102"/>
      <c r="B268" s="102"/>
      <c r="C268" s="102"/>
      <c r="D268" s="102"/>
      <c r="E268" s="102"/>
      <c r="F268" s="102"/>
      <c r="G268" s="102"/>
      <c r="H268" s="102"/>
      <c r="I268" s="112"/>
      <c r="J268" s="112"/>
      <c r="K268" s="103" t="str">
        <f t="shared" si="1"/>
        <v/>
      </c>
      <c r="L268" s="102"/>
      <c r="M268" s="102"/>
      <c r="N268" s="112"/>
      <c r="O268" s="102"/>
    </row>
    <row r="269" ht="14.25" customHeight="1">
      <c r="A269" s="102"/>
      <c r="B269" s="102"/>
      <c r="C269" s="102"/>
      <c r="D269" s="102"/>
      <c r="E269" s="102"/>
      <c r="F269" s="102"/>
      <c r="G269" s="102"/>
      <c r="H269" s="102"/>
      <c r="I269" s="112"/>
      <c r="J269" s="112"/>
      <c r="K269" s="103" t="str">
        <f t="shared" si="1"/>
        <v/>
      </c>
      <c r="L269" s="102"/>
      <c r="M269" s="102"/>
      <c r="N269" s="112"/>
      <c r="O269" s="102"/>
    </row>
    <row r="270" ht="14.25" customHeight="1">
      <c r="A270" s="102"/>
      <c r="B270" s="102"/>
      <c r="C270" s="102"/>
      <c r="D270" s="102"/>
      <c r="E270" s="102"/>
      <c r="F270" s="102"/>
      <c r="G270" s="102"/>
      <c r="H270" s="102"/>
      <c r="I270" s="112"/>
      <c r="J270" s="112"/>
      <c r="K270" s="103" t="str">
        <f t="shared" si="1"/>
        <v/>
      </c>
      <c r="L270" s="102"/>
      <c r="M270" s="102"/>
      <c r="N270" s="112"/>
      <c r="O270" s="102"/>
    </row>
    <row r="271" ht="14.25" customHeight="1">
      <c r="A271" s="102"/>
      <c r="B271" s="102"/>
      <c r="C271" s="102"/>
      <c r="D271" s="102"/>
      <c r="E271" s="102"/>
      <c r="F271" s="102"/>
      <c r="G271" s="102"/>
      <c r="H271" s="102"/>
      <c r="I271" s="112"/>
      <c r="J271" s="112"/>
      <c r="K271" s="103" t="str">
        <f t="shared" si="1"/>
        <v/>
      </c>
      <c r="L271" s="102"/>
      <c r="M271" s="102"/>
      <c r="N271" s="112"/>
      <c r="O271" s="102"/>
    </row>
    <row r="272" ht="14.25" customHeight="1">
      <c r="A272" s="102"/>
      <c r="B272" s="102"/>
      <c r="C272" s="102"/>
      <c r="D272" s="102"/>
      <c r="E272" s="102"/>
      <c r="F272" s="102"/>
      <c r="G272" s="102"/>
      <c r="H272" s="102"/>
      <c r="I272" s="112"/>
      <c r="J272" s="112"/>
      <c r="K272" s="103" t="str">
        <f t="shared" si="1"/>
        <v/>
      </c>
      <c r="L272" s="102"/>
      <c r="M272" s="102"/>
      <c r="N272" s="112"/>
      <c r="O272" s="102"/>
    </row>
    <row r="273" ht="14.25" customHeight="1">
      <c r="A273" s="102"/>
      <c r="B273" s="102"/>
      <c r="C273" s="102"/>
      <c r="D273" s="102"/>
      <c r="E273" s="102"/>
      <c r="F273" s="102"/>
      <c r="G273" s="102"/>
      <c r="H273" s="102"/>
      <c r="I273" s="112"/>
      <c r="J273" s="112"/>
      <c r="K273" s="103" t="str">
        <f t="shared" si="1"/>
        <v/>
      </c>
      <c r="L273" s="102"/>
      <c r="M273" s="102"/>
      <c r="N273" s="112"/>
      <c r="O273" s="102"/>
    </row>
    <row r="274" ht="14.25" customHeight="1">
      <c r="A274" s="102"/>
      <c r="B274" s="102"/>
      <c r="C274" s="102"/>
      <c r="D274" s="102"/>
      <c r="E274" s="102"/>
      <c r="F274" s="102"/>
      <c r="G274" s="102"/>
      <c r="H274" s="102"/>
      <c r="I274" s="112"/>
      <c r="J274" s="112"/>
      <c r="K274" s="103" t="str">
        <f t="shared" si="1"/>
        <v/>
      </c>
      <c r="L274" s="102"/>
      <c r="M274" s="102"/>
      <c r="N274" s="112"/>
      <c r="O274" s="102"/>
    </row>
    <row r="275" ht="14.25" customHeight="1">
      <c r="A275" s="102"/>
      <c r="B275" s="102"/>
      <c r="C275" s="102"/>
      <c r="D275" s="102"/>
      <c r="E275" s="102"/>
      <c r="F275" s="102"/>
      <c r="G275" s="102"/>
      <c r="H275" s="102"/>
      <c r="I275" s="112"/>
      <c r="J275" s="112"/>
      <c r="K275" s="103" t="str">
        <f t="shared" si="1"/>
        <v/>
      </c>
      <c r="L275" s="102"/>
      <c r="M275" s="102"/>
      <c r="N275" s="112"/>
      <c r="O275" s="102"/>
    </row>
    <row r="276" ht="14.25" customHeight="1">
      <c r="A276" s="102"/>
      <c r="B276" s="102"/>
      <c r="C276" s="102"/>
      <c r="D276" s="102"/>
      <c r="E276" s="102"/>
      <c r="F276" s="102"/>
      <c r="G276" s="102"/>
      <c r="H276" s="102"/>
      <c r="I276" s="112"/>
      <c r="J276" s="112"/>
      <c r="K276" s="103" t="str">
        <f t="shared" si="1"/>
        <v/>
      </c>
      <c r="L276" s="102"/>
      <c r="M276" s="102"/>
      <c r="N276" s="112"/>
      <c r="O276" s="102"/>
    </row>
    <row r="277" ht="14.25" customHeight="1">
      <c r="A277" s="102"/>
      <c r="B277" s="102"/>
      <c r="C277" s="102"/>
      <c r="D277" s="102"/>
      <c r="E277" s="102"/>
      <c r="F277" s="102"/>
      <c r="G277" s="102"/>
      <c r="H277" s="102"/>
      <c r="I277" s="112"/>
      <c r="J277" s="112"/>
      <c r="K277" s="103" t="str">
        <f t="shared" si="1"/>
        <v/>
      </c>
      <c r="L277" s="102"/>
      <c r="M277" s="102"/>
      <c r="N277" s="112"/>
      <c r="O277" s="102"/>
    </row>
    <row r="278" ht="14.25" customHeight="1">
      <c r="A278" s="102"/>
      <c r="B278" s="102"/>
      <c r="C278" s="102"/>
      <c r="D278" s="102"/>
      <c r="E278" s="102"/>
      <c r="F278" s="102"/>
      <c r="G278" s="102"/>
      <c r="H278" s="102"/>
      <c r="I278" s="112"/>
      <c r="J278" s="112"/>
      <c r="K278" s="103" t="str">
        <f t="shared" si="1"/>
        <v/>
      </c>
      <c r="L278" s="102"/>
      <c r="M278" s="102"/>
      <c r="N278" s="112"/>
      <c r="O278" s="102"/>
    </row>
    <row r="279" ht="14.25" customHeight="1">
      <c r="A279" s="102"/>
      <c r="B279" s="102"/>
      <c r="C279" s="102"/>
      <c r="D279" s="102"/>
      <c r="E279" s="102"/>
      <c r="F279" s="102"/>
      <c r="G279" s="102"/>
      <c r="H279" s="102"/>
      <c r="I279" s="112"/>
      <c r="J279" s="112"/>
      <c r="K279" s="103" t="str">
        <f t="shared" si="1"/>
        <v/>
      </c>
      <c r="L279" s="102"/>
      <c r="M279" s="102"/>
      <c r="N279" s="112"/>
      <c r="O279" s="102"/>
    </row>
    <row r="280" ht="14.25" customHeight="1">
      <c r="A280" s="102"/>
      <c r="B280" s="102"/>
      <c r="C280" s="102"/>
      <c r="D280" s="102"/>
      <c r="E280" s="102"/>
      <c r="F280" s="102"/>
      <c r="G280" s="102"/>
      <c r="H280" s="102"/>
      <c r="I280" s="112"/>
      <c r="J280" s="112"/>
      <c r="K280" s="103" t="str">
        <f t="shared" si="1"/>
        <v/>
      </c>
      <c r="L280" s="102"/>
      <c r="M280" s="102"/>
      <c r="N280" s="112"/>
      <c r="O280" s="102"/>
    </row>
    <row r="281" ht="14.25" customHeight="1">
      <c r="A281" s="102"/>
      <c r="B281" s="102"/>
      <c r="C281" s="102"/>
      <c r="D281" s="102"/>
      <c r="E281" s="102"/>
      <c r="F281" s="102"/>
      <c r="G281" s="102"/>
      <c r="H281" s="102"/>
      <c r="I281" s="112"/>
      <c r="J281" s="112"/>
      <c r="K281" s="103" t="str">
        <f t="shared" si="1"/>
        <v/>
      </c>
      <c r="L281" s="102"/>
      <c r="M281" s="102"/>
      <c r="N281" s="112"/>
      <c r="O281" s="102"/>
    </row>
    <row r="282" ht="14.25" customHeight="1">
      <c r="A282" s="102"/>
      <c r="B282" s="102"/>
      <c r="C282" s="102"/>
      <c r="D282" s="102"/>
      <c r="E282" s="102"/>
      <c r="F282" s="102"/>
      <c r="G282" s="102"/>
      <c r="H282" s="102"/>
      <c r="I282" s="112"/>
      <c r="J282" s="112"/>
      <c r="K282" s="103" t="str">
        <f t="shared" si="1"/>
        <v/>
      </c>
      <c r="L282" s="102"/>
      <c r="M282" s="102"/>
      <c r="N282" s="112"/>
      <c r="O282" s="102"/>
    </row>
    <row r="283" ht="14.25" customHeight="1">
      <c r="A283" s="102"/>
      <c r="B283" s="102"/>
      <c r="C283" s="102"/>
      <c r="D283" s="102"/>
      <c r="E283" s="102"/>
      <c r="F283" s="102"/>
      <c r="G283" s="102"/>
      <c r="H283" s="102"/>
      <c r="I283" s="112"/>
      <c r="J283" s="112"/>
      <c r="K283" s="103" t="str">
        <f t="shared" si="1"/>
        <v/>
      </c>
      <c r="L283" s="102"/>
      <c r="M283" s="102"/>
      <c r="N283" s="112"/>
      <c r="O283" s="102"/>
    </row>
    <row r="284" ht="14.25" customHeight="1">
      <c r="A284" s="102"/>
      <c r="B284" s="102"/>
      <c r="C284" s="102"/>
      <c r="D284" s="102"/>
      <c r="E284" s="102"/>
      <c r="F284" s="102"/>
      <c r="G284" s="102"/>
      <c r="H284" s="102"/>
      <c r="I284" s="112"/>
      <c r="J284" s="112"/>
      <c r="K284" s="103" t="str">
        <f t="shared" si="1"/>
        <v/>
      </c>
      <c r="L284" s="102"/>
      <c r="M284" s="102"/>
      <c r="N284" s="112"/>
      <c r="O284" s="102"/>
    </row>
    <row r="285" ht="14.25" customHeight="1">
      <c r="A285" s="102"/>
      <c r="B285" s="102"/>
      <c r="C285" s="102"/>
      <c r="D285" s="102"/>
      <c r="E285" s="102"/>
      <c r="F285" s="102"/>
      <c r="G285" s="102"/>
      <c r="H285" s="102"/>
      <c r="I285" s="112"/>
      <c r="J285" s="112"/>
      <c r="K285" s="103" t="str">
        <f t="shared" si="1"/>
        <v/>
      </c>
      <c r="L285" s="102"/>
      <c r="M285" s="102"/>
      <c r="N285" s="112"/>
      <c r="O285" s="102"/>
    </row>
    <row r="286" ht="14.25" customHeight="1">
      <c r="A286" s="102"/>
      <c r="B286" s="102"/>
      <c r="C286" s="102"/>
      <c r="D286" s="102"/>
      <c r="E286" s="102"/>
      <c r="F286" s="102"/>
      <c r="G286" s="102"/>
      <c r="H286" s="102"/>
      <c r="I286" s="112"/>
      <c r="J286" s="112"/>
      <c r="K286" s="103" t="str">
        <f t="shared" si="1"/>
        <v/>
      </c>
      <c r="L286" s="102"/>
      <c r="M286" s="102"/>
      <c r="N286" s="112"/>
      <c r="O286" s="102"/>
    </row>
    <row r="287" ht="14.25" customHeight="1">
      <c r="A287" s="102"/>
      <c r="B287" s="102"/>
      <c r="C287" s="102"/>
      <c r="D287" s="102"/>
      <c r="E287" s="102"/>
      <c r="F287" s="102"/>
      <c r="G287" s="102"/>
      <c r="H287" s="102"/>
      <c r="I287" s="112"/>
      <c r="J287" s="112"/>
      <c r="K287" s="103" t="str">
        <f t="shared" si="1"/>
        <v/>
      </c>
      <c r="L287" s="102"/>
      <c r="M287" s="102"/>
      <c r="N287" s="112"/>
      <c r="O287" s="102"/>
    </row>
    <row r="288" ht="14.25" customHeight="1">
      <c r="A288" s="102"/>
      <c r="B288" s="102"/>
      <c r="C288" s="102"/>
      <c r="D288" s="102"/>
      <c r="E288" s="102"/>
      <c r="F288" s="102"/>
      <c r="G288" s="102"/>
      <c r="H288" s="102"/>
      <c r="I288" s="112"/>
      <c r="J288" s="112"/>
      <c r="K288" s="103" t="str">
        <f t="shared" si="1"/>
        <v/>
      </c>
      <c r="L288" s="102"/>
      <c r="M288" s="102"/>
      <c r="N288" s="112"/>
      <c r="O288" s="102"/>
    </row>
    <row r="289" ht="14.25" customHeight="1">
      <c r="A289" s="102"/>
      <c r="B289" s="102"/>
      <c r="C289" s="102"/>
      <c r="D289" s="102"/>
      <c r="E289" s="102"/>
      <c r="F289" s="102"/>
      <c r="G289" s="102"/>
      <c r="H289" s="102"/>
      <c r="I289" s="112"/>
      <c r="J289" s="112"/>
      <c r="K289" s="103" t="str">
        <f t="shared" si="1"/>
        <v/>
      </c>
      <c r="L289" s="102"/>
      <c r="M289" s="102"/>
      <c r="N289" s="112"/>
      <c r="O289" s="102"/>
    </row>
    <row r="290" ht="14.25" customHeight="1">
      <c r="A290" s="102"/>
      <c r="B290" s="102"/>
      <c r="C290" s="102"/>
      <c r="D290" s="102"/>
      <c r="E290" s="102"/>
      <c r="F290" s="102"/>
      <c r="G290" s="102"/>
      <c r="H290" s="102"/>
      <c r="I290" s="112"/>
      <c r="J290" s="112"/>
      <c r="K290" s="103" t="str">
        <f t="shared" si="1"/>
        <v/>
      </c>
      <c r="L290" s="102"/>
      <c r="M290" s="102"/>
      <c r="N290" s="112"/>
      <c r="O290" s="102"/>
    </row>
    <row r="291" ht="14.25" customHeight="1">
      <c r="A291" s="102"/>
      <c r="B291" s="102"/>
      <c r="C291" s="102"/>
      <c r="D291" s="102"/>
      <c r="E291" s="102"/>
      <c r="F291" s="102"/>
      <c r="G291" s="102"/>
      <c r="H291" s="102"/>
      <c r="I291" s="112"/>
      <c r="J291" s="112"/>
      <c r="K291" s="103" t="str">
        <f t="shared" si="1"/>
        <v/>
      </c>
      <c r="L291" s="102"/>
      <c r="M291" s="102"/>
      <c r="N291" s="112"/>
      <c r="O291" s="102"/>
    </row>
    <row r="292" ht="14.25" customHeight="1">
      <c r="A292" s="102"/>
      <c r="B292" s="102"/>
      <c r="C292" s="102"/>
      <c r="D292" s="102"/>
      <c r="E292" s="102"/>
      <c r="F292" s="102"/>
      <c r="G292" s="102"/>
      <c r="H292" s="102"/>
      <c r="I292" s="112"/>
      <c r="J292" s="112"/>
      <c r="K292" s="103" t="str">
        <f t="shared" si="1"/>
        <v/>
      </c>
      <c r="L292" s="102"/>
      <c r="M292" s="102"/>
      <c r="N292" s="112"/>
      <c r="O292" s="102"/>
    </row>
    <row r="293" ht="14.25" customHeight="1">
      <c r="A293" s="102"/>
      <c r="B293" s="102"/>
      <c r="C293" s="102"/>
      <c r="D293" s="102"/>
      <c r="E293" s="102"/>
      <c r="F293" s="102"/>
      <c r="G293" s="102"/>
      <c r="H293" s="102"/>
      <c r="I293" s="112"/>
      <c r="J293" s="112"/>
      <c r="K293" s="103" t="str">
        <f t="shared" si="1"/>
        <v/>
      </c>
      <c r="L293" s="102"/>
      <c r="M293" s="102"/>
      <c r="N293" s="112"/>
      <c r="O293" s="102"/>
    </row>
    <row r="294" ht="14.25" customHeight="1">
      <c r="A294" s="102"/>
      <c r="B294" s="102"/>
      <c r="C294" s="102"/>
      <c r="D294" s="102"/>
      <c r="E294" s="102"/>
      <c r="F294" s="102"/>
      <c r="G294" s="102"/>
      <c r="H294" s="102"/>
      <c r="I294" s="112"/>
      <c r="J294" s="112"/>
      <c r="K294" s="103" t="str">
        <f t="shared" si="1"/>
        <v/>
      </c>
      <c r="L294" s="102"/>
      <c r="M294" s="102"/>
      <c r="N294" s="112"/>
      <c r="O294" s="102"/>
    </row>
    <row r="295" ht="14.25" customHeight="1">
      <c r="A295" s="102"/>
      <c r="B295" s="102"/>
      <c r="C295" s="102"/>
      <c r="D295" s="102"/>
      <c r="E295" s="102"/>
      <c r="F295" s="102"/>
      <c r="G295" s="102"/>
      <c r="H295" s="102"/>
      <c r="I295" s="112"/>
      <c r="J295" s="112"/>
      <c r="K295" s="103" t="str">
        <f t="shared" si="1"/>
        <v/>
      </c>
      <c r="L295" s="102"/>
      <c r="M295" s="102"/>
      <c r="N295" s="112"/>
      <c r="O295" s="102"/>
    </row>
    <row r="296" ht="14.25" customHeight="1">
      <c r="A296" s="102"/>
      <c r="B296" s="102"/>
      <c r="C296" s="102"/>
      <c r="D296" s="102"/>
      <c r="E296" s="102"/>
      <c r="F296" s="102"/>
      <c r="G296" s="102"/>
      <c r="H296" s="102"/>
      <c r="I296" s="112"/>
      <c r="J296" s="112"/>
      <c r="K296" s="103" t="str">
        <f t="shared" si="1"/>
        <v/>
      </c>
      <c r="L296" s="102"/>
      <c r="M296" s="102"/>
      <c r="N296" s="112"/>
      <c r="O296" s="102"/>
    </row>
    <row r="297" ht="14.25" customHeight="1">
      <c r="A297" s="102"/>
      <c r="B297" s="102"/>
      <c r="C297" s="102"/>
      <c r="D297" s="102"/>
      <c r="E297" s="102"/>
      <c r="F297" s="102"/>
      <c r="G297" s="102"/>
      <c r="H297" s="102"/>
      <c r="I297" s="112"/>
      <c r="J297" s="112"/>
      <c r="K297" s="103" t="str">
        <f t="shared" si="1"/>
        <v/>
      </c>
      <c r="L297" s="102"/>
      <c r="M297" s="102"/>
      <c r="N297" s="112"/>
      <c r="O297" s="102"/>
    </row>
    <row r="298" ht="14.25" customHeight="1">
      <c r="A298" s="102"/>
      <c r="B298" s="102"/>
      <c r="C298" s="102"/>
      <c r="D298" s="102"/>
      <c r="E298" s="102"/>
      <c r="F298" s="102"/>
      <c r="G298" s="102"/>
      <c r="H298" s="102"/>
      <c r="I298" s="112"/>
      <c r="J298" s="112"/>
      <c r="K298" s="103" t="str">
        <f t="shared" si="1"/>
        <v/>
      </c>
      <c r="L298" s="102"/>
      <c r="M298" s="102"/>
      <c r="N298" s="112"/>
      <c r="O298" s="102"/>
    </row>
    <row r="299" ht="14.25" customHeight="1">
      <c r="A299" s="102"/>
      <c r="B299" s="102"/>
      <c r="C299" s="102"/>
      <c r="D299" s="102"/>
      <c r="E299" s="102"/>
      <c r="F299" s="102"/>
      <c r="G299" s="102"/>
      <c r="H299" s="102"/>
      <c r="I299" s="112"/>
      <c r="J299" s="112"/>
      <c r="K299" s="103" t="str">
        <f t="shared" si="1"/>
        <v/>
      </c>
      <c r="L299" s="102"/>
      <c r="M299" s="102"/>
      <c r="N299" s="112"/>
      <c r="O299" s="102"/>
    </row>
    <row r="300" ht="14.25" customHeight="1">
      <c r="A300" s="102"/>
      <c r="B300" s="102"/>
      <c r="C300" s="102"/>
      <c r="D300" s="102"/>
      <c r="E300" s="102"/>
      <c r="F300" s="102"/>
      <c r="G300" s="102"/>
      <c r="H300" s="102"/>
      <c r="I300" s="112"/>
      <c r="J300" s="112"/>
      <c r="K300" s="103" t="str">
        <f t="shared" si="1"/>
        <v/>
      </c>
      <c r="L300" s="102"/>
      <c r="M300" s="102"/>
      <c r="N300" s="112"/>
      <c r="O300" s="102"/>
    </row>
    <row r="301" ht="14.25" customHeight="1">
      <c r="A301" s="102"/>
      <c r="B301" s="102"/>
      <c r="C301" s="102"/>
      <c r="D301" s="102"/>
      <c r="E301" s="102"/>
      <c r="F301" s="102"/>
      <c r="G301" s="102"/>
      <c r="H301" s="102"/>
      <c r="I301" s="112"/>
      <c r="J301" s="112"/>
      <c r="K301" s="103" t="str">
        <f t="shared" si="1"/>
        <v/>
      </c>
      <c r="L301" s="102"/>
      <c r="M301" s="102"/>
      <c r="N301" s="112"/>
      <c r="O301" s="102"/>
    </row>
    <row r="302" ht="14.25" customHeight="1">
      <c r="A302" s="102"/>
      <c r="B302" s="102"/>
      <c r="C302" s="102"/>
      <c r="D302" s="102"/>
      <c r="E302" s="102"/>
      <c r="F302" s="102"/>
      <c r="G302" s="102"/>
      <c r="H302" s="102"/>
      <c r="I302" s="112"/>
      <c r="J302" s="112"/>
      <c r="K302" s="103" t="str">
        <f t="shared" si="1"/>
        <v/>
      </c>
      <c r="L302" s="102"/>
      <c r="M302" s="102"/>
      <c r="N302" s="112"/>
      <c r="O302" s="102"/>
    </row>
    <row r="303" ht="14.25" customHeight="1">
      <c r="A303" s="102"/>
      <c r="B303" s="102"/>
      <c r="C303" s="102"/>
      <c r="D303" s="102"/>
      <c r="E303" s="102"/>
      <c r="F303" s="102"/>
      <c r="G303" s="102"/>
      <c r="H303" s="102"/>
      <c r="I303" s="112"/>
      <c r="J303" s="112"/>
      <c r="K303" s="103" t="str">
        <f t="shared" si="1"/>
        <v/>
      </c>
      <c r="L303" s="102"/>
      <c r="M303" s="102"/>
      <c r="N303" s="112"/>
      <c r="O303" s="102"/>
    </row>
    <row r="304" ht="14.25" customHeight="1">
      <c r="A304" s="102"/>
      <c r="B304" s="102"/>
      <c r="C304" s="102"/>
      <c r="D304" s="102"/>
      <c r="E304" s="102"/>
      <c r="F304" s="102"/>
      <c r="G304" s="102"/>
      <c r="H304" s="102"/>
      <c r="I304" s="112"/>
      <c r="J304" s="112"/>
      <c r="K304" s="103" t="str">
        <f t="shared" si="1"/>
        <v/>
      </c>
      <c r="L304" s="102"/>
      <c r="M304" s="102"/>
      <c r="N304" s="112"/>
      <c r="O304" s="102"/>
    </row>
    <row r="305" ht="14.25" customHeight="1">
      <c r="A305" s="102"/>
      <c r="B305" s="102"/>
      <c r="C305" s="102"/>
      <c r="D305" s="102"/>
      <c r="E305" s="102"/>
      <c r="F305" s="102"/>
      <c r="G305" s="102"/>
      <c r="H305" s="102"/>
      <c r="I305" s="112"/>
      <c r="J305" s="112"/>
      <c r="K305" s="103" t="str">
        <f t="shared" si="1"/>
        <v/>
      </c>
      <c r="L305" s="102"/>
      <c r="M305" s="102"/>
      <c r="N305" s="112"/>
      <c r="O305" s="102"/>
    </row>
    <row r="306" ht="14.25" customHeight="1">
      <c r="A306" s="102"/>
      <c r="B306" s="102"/>
      <c r="C306" s="102"/>
      <c r="D306" s="102"/>
      <c r="E306" s="102"/>
      <c r="F306" s="102"/>
      <c r="G306" s="102"/>
      <c r="H306" s="102"/>
      <c r="I306" s="112"/>
      <c r="J306" s="112"/>
      <c r="K306" s="103" t="str">
        <f t="shared" si="1"/>
        <v/>
      </c>
      <c r="L306" s="102"/>
      <c r="M306" s="102"/>
      <c r="N306" s="112"/>
      <c r="O306" s="102"/>
    </row>
    <row r="307" ht="14.25" customHeight="1">
      <c r="A307" s="102"/>
      <c r="B307" s="102"/>
      <c r="C307" s="102"/>
      <c r="D307" s="102"/>
      <c r="E307" s="102"/>
      <c r="F307" s="102"/>
      <c r="G307" s="102"/>
      <c r="H307" s="102"/>
      <c r="I307" s="112"/>
      <c r="J307" s="112"/>
      <c r="K307" s="103" t="str">
        <f t="shared" si="1"/>
        <v/>
      </c>
      <c r="L307" s="102"/>
      <c r="M307" s="102"/>
      <c r="N307" s="112"/>
      <c r="O307" s="102"/>
    </row>
    <row r="308" ht="14.25" customHeight="1">
      <c r="A308" s="102"/>
      <c r="B308" s="102"/>
      <c r="C308" s="102"/>
      <c r="D308" s="102"/>
      <c r="E308" s="102"/>
      <c r="F308" s="102"/>
      <c r="G308" s="102"/>
      <c r="H308" s="102"/>
      <c r="I308" s="112"/>
      <c r="J308" s="112"/>
      <c r="K308" s="103" t="str">
        <f t="shared" si="1"/>
        <v/>
      </c>
      <c r="L308" s="102"/>
      <c r="M308" s="102"/>
      <c r="N308" s="112"/>
      <c r="O308" s="102"/>
    </row>
    <row r="309" ht="14.25" customHeight="1">
      <c r="A309" s="102"/>
      <c r="B309" s="102"/>
      <c r="C309" s="102"/>
      <c r="D309" s="102"/>
      <c r="E309" s="102"/>
      <c r="F309" s="102"/>
      <c r="G309" s="102"/>
      <c r="H309" s="102"/>
      <c r="I309" s="112"/>
      <c r="J309" s="112"/>
      <c r="K309" s="103" t="str">
        <f t="shared" si="1"/>
        <v/>
      </c>
      <c r="L309" s="102"/>
      <c r="M309" s="102"/>
      <c r="N309" s="112"/>
      <c r="O309" s="102"/>
    </row>
    <row r="310" ht="14.25" customHeight="1">
      <c r="A310" s="102"/>
      <c r="B310" s="102"/>
      <c r="C310" s="102"/>
      <c r="D310" s="102"/>
      <c r="E310" s="102"/>
      <c r="F310" s="102"/>
      <c r="G310" s="102"/>
      <c r="H310" s="102"/>
      <c r="I310" s="112"/>
      <c r="J310" s="112"/>
      <c r="K310" s="103" t="str">
        <f t="shared" si="1"/>
        <v/>
      </c>
      <c r="L310" s="102"/>
      <c r="M310" s="102"/>
      <c r="N310" s="112"/>
      <c r="O310" s="102"/>
    </row>
    <row r="311" ht="14.25" customHeight="1">
      <c r="A311" s="102"/>
      <c r="B311" s="102"/>
      <c r="C311" s="102"/>
      <c r="D311" s="102"/>
      <c r="E311" s="102"/>
      <c r="F311" s="102"/>
      <c r="G311" s="102"/>
      <c r="H311" s="102"/>
      <c r="I311" s="112"/>
      <c r="J311" s="112"/>
      <c r="K311" s="103" t="str">
        <f t="shared" si="1"/>
        <v/>
      </c>
      <c r="L311" s="102"/>
      <c r="M311" s="102"/>
      <c r="N311" s="112"/>
      <c r="O311" s="102"/>
    </row>
    <row r="312" ht="14.25" customHeight="1">
      <c r="A312" s="102"/>
      <c r="B312" s="102"/>
      <c r="C312" s="102"/>
      <c r="D312" s="102"/>
      <c r="E312" s="102"/>
      <c r="F312" s="102"/>
      <c r="G312" s="102"/>
      <c r="H312" s="102"/>
      <c r="I312" s="112"/>
      <c r="J312" s="112"/>
      <c r="K312" s="103" t="str">
        <f t="shared" si="1"/>
        <v/>
      </c>
      <c r="L312" s="102"/>
      <c r="M312" s="102"/>
      <c r="N312" s="112"/>
      <c r="O312" s="102"/>
    </row>
    <row r="313" ht="14.25" customHeight="1">
      <c r="A313" s="102"/>
      <c r="B313" s="102"/>
      <c r="C313" s="102"/>
      <c r="D313" s="102"/>
      <c r="E313" s="102"/>
      <c r="F313" s="102"/>
      <c r="G313" s="102"/>
      <c r="H313" s="102"/>
      <c r="I313" s="112"/>
      <c r="J313" s="112"/>
      <c r="K313" s="103" t="str">
        <f t="shared" si="1"/>
        <v/>
      </c>
      <c r="L313" s="102"/>
      <c r="M313" s="102"/>
      <c r="N313" s="112"/>
      <c r="O313" s="102"/>
    </row>
    <row r="314" ht="14.25" customHeight="1">
      <c r="A314" s="102"/>
      <c r="B314" s="102"/>
      <c r="C314" s="102"/>
      <c r="D314" s="102"/>
      <c r="E314" s="102"/>
      <c r="F314" s="102"/>
      <c r="G314" s="102"/>
      <c r="H314" s="102"/>
      <c r="I314" s="112"/>
      <c r="J314" s="112"/>
      <c r="K314" s="103" t="str">
        <f t="shared" si="1"/>
        <v/>
      </c>
      <c r="L314" s="102"/>
      <c r="M314" s="102"/>
      <c r="N314" s="112"/>
      <c r="O314" s="102"/>
    </row>
    <row r="315" ht="14.25" customHeight="1">
      <c r="A315" s="102"/>
      <c r="B315" s="102"/>
      <c r="C315" s="102"/>
      <c r="D315" s="102"/>
      <c r="E315" s="102"/>
      <c r="F315" s="102"/>
      <c r="G315" s="102"/>
      <c r="H315" s="102"/>
      <c r="I315" s="112"/>
      <c r="J315" s="112"/>
      <c r="K315" s="103" t="str">
        <f t="shared" si="1"/>
        <v/>
      </c>
      <c r="L315" s="102"/>
      <c r="M315" s="102"/>
      <c r="N315" s="112"/>
      <c r="O315" s="102"/>
    </row>
    <row r="316" ht="14.25" customHeight="1">
      <c r="A316" s="102"/>
      <c r="B316" s="102"/>
      <c r="C316" s="102"/>
      <c r="D316" s="102"/>
      <c r="E316" s="102"/>
      <c r="F316" s="102"/>
      <c r="G316" s="102"/>
      <c r="H316" s="102"/>
      <c r="I316" s="112"/>
      <c r="J316" s="112"/>
      <c r="K316" s="103" t="str">
        <f t="shared" si="1"/>
        <v/>
      </c>
      <c r="L316" s="102"/>
      <c r="M316" s="102"/>
      <c r="N316" s="112"/>
      <c r="O316" s="102"/>
    </row>
    <row r="317" ht="14.25" customHeight="1">
      <c r="A317" s="102"/>
      <c r="B317" s="102"/>
      <c r="C317" s="102"/>
      <c r="D317" s="102"/>
      <c r="E317" s="102"/>
      <c r="F317" s="102"/>
      <c r="G317" s="102"/>
      <c r="H317" s="102"/>
      <c r="I317" s="112"/>
      <c r="J317" s="112"/>
      <c r="K317" s="103" t="str">
        <f t="shared" si="1"/>
        <v/>
      </c>
      <c r="L317" s="102"/>
      <c r="M317" s="102"/>
      <c r="N317" s="112"/>
      <c r="O317" s="102"/>
    </row>
    <row r="318" ht="14.25" customHeight="1">
      <c r="A318" s="102"/>
      <c r="B318" s="102"/>
      <c r="C318" s="102"/>
      <c r="D318" s="102"/>
      <c r="E318" s="102"/>
      <c r="F318" s="102"/>
      <c r="G318" s="102"/>
      <c r="H318" s="102"/>
      <c r="I318" s="112"/>
      <c r="J318" s="112"/>
      <c r="K318" s="103" t="str">
        <f t="shared" si="1"/>
        <v/>
      </c>
      <c r="L318" s="102"/>
      <c r="M318" s="102"/>
      <c r="N318" s="112"/>
      <c r="O318" s="102"/>
    </row>
    <row r="319" ht="14.25" customHeight="1">
      <c r="A319" s="102"/>
      <c r="B319" s="102"/>
      <c r="C319" s="102"/>
      <c r="D319" s="102"/>
      <c r="E319" s="102"/>
      <c r="F319" s="102"/>
      <c r="G319" s="102"/>
      <c r="H319" s="102"/>
      <c r="I319" s="112"/>
      <c r="J319" s="112"/>
      <c r="K319" s="103" t="str">
        <f t="shared" si="1"/>
        <v/>
      </c>
      <c r="L319" s="102"/>
      <c r="M319" s="102"/>
      <c r="N319" s="112"/>
      <c r="O319" s="102"/>
    </row>
    <row r="320" ht="14.25" customHeight="1">
      <c r="A320" s="102"/>
      <c r="B320" s="102"/>
      <c r="C320" s="102"/>
      <c r="D320" s="102"/>
      <c r="E320" s="102"/>
      <c r="F320" s="102"/>
      <c r="G320" s="102"/>
      <c r="H320" s="102"/>
      <c r="I320" s="112"/>
      <c r="J320" s="112"/>
      <c r="K320" s="103" t="str">
        <f t="shared" si="1"/>
        <v/>
      </c>
      <c r="L320" s="102"/>
      <c r="M320" s="102"/>
      <c r="N320" s="112"/>
      <c r="O320" s="102"/>
    </row>
    <row r="321" ht="14.25" customHeight="1">
      <c r="A321" s="102"/>
      <c r="B321" s="102"/>
      <c r="C321" s="102"/>
      <c r="D321" s="102"/>
      <c r="E321" s="102"/>
      <c r="F321" s="102"/>
      <c r="G321" s="102"/>
      <c r="H321" s="102"/>
      <c r="I321" s="112"/>
      <c r="J321" s="112"/>
      <c r="K321" s="103" t="str">
        <f t="shared" si="1"/>
        <v/>
      </c>
      <c r="L321" s="102"/>
      <c r="M321" s="102"/>
      <c r="N321" s="112"/>
      <c r="O321" s="102"/>
    </row>
    <row r="322" ht="14.25" customHeight="1">
      <c r="A322" s="102"/>
      <c r="B322" s="102"/>
      <c r="C322" s="102"/>
      <c r="D322" s="102"/>
      <c r="E322" s="102"/>
      <c r="F322" s="102"/>
      <c r="G322" s="102"/>
      <c r="H322" s="102"/>
      <c r="I322" s="112"/>
      <c r="J322" s="112"/>
      <c r="K322" s="103" t="str">
        <f t="shared" si="1"/>
        <v/>
      </c>
      <c r="L322" s="102"/>
      <c r="M322" s="102"/>
      <c r="N322" s="112"/>
      <c r="O322" s="102"/>
    </row>
    <row r="323" ht="14.25" customHeight="1">
      <c r="A323" s="102"/>
      <c r="B323" s="102"/>
      <c r="C323" s="102"/>
      <c r="D323" s="102"/>
      <c r="E323" s="102"/>
      <c r="F323" s="102"/>
      <c r="G323" s="102"/>
      <c r="H323" s="102"/>
      <c r="I323" s="112"/>
      <c r="J323" s="112"/>
      <c r="K323" s="103" t="str">
        <f t="shared" si="1"/>
        <v/>
      </c>
      <c r="L323" s="102"/>
      <c r="M323" s="102"/>
      <c r="N323" s="112"/>
      <c r="O323" s="102"/>
    </row>
    <row r="324" ht="14.25" customHeight="1">
      <c r="A324" s="102"/>
      <c r="B324" s="102"/>
      <c r="C324" s="102"/>
      <c r="D324" s="102"/>
      <c r="E324" s="102"/>
      <c r="F324" s="102"/>
      <c r="G324" s="102"/>
      <c r="H324" s="102"/>
      <c r="I324" s="112"/>
      <c r="J324" s="112"/>
      <c r="K324" s="103" t="str">
        <f t="shared" si="1"/>
        <v/>
      </c>
      <c r="L324" s="102"/>
      <c r="M324" s="102"/>
      <c r="N324" s="112"/>
      <c r="O324" s="102"/>
    </row>
    <row r="325" ht="14.25" customHeight="1">
      <c r="A325" s="102"/>
      <c r="B325" s="102"/>
      <c r="C325" s="102"/>
      <c r="D325" s="102"/>
      <c r="E325" s="102"/>
      <c r="F325" s="102"/>
      <c r="G325" s="102"/>
      <c r="H325" s="102"/>
      <c r="I325" s="112"/>
      <c r="J325" s="112"/>
      <c r="K325" s="103" t="str">
        <f t="shared" si="1"/>
        <v/>
      </c>
      <c r="L325" s="102"/>
      <c r="M325" s="102"/>
      <c r="N325" s="112"/>
      <c r="O325" s="102"/>
    </row>
    <row r="326" ht="14.25" customHeight="1">
      <c r="A326" s="102"/>
      <c r="B326" s="102"/>
      <c r="C326" s="102"/>
      <c r="D326" s="102"/>
      <c r="E326" s="102"/>
      <c r="F326" s="102"/>
      <c r="G326" s="102"/>
      <c r="H326" s="102"/>
      <c r="I326" s="112"/>
      <c r="J326" s="112"/>
      <c r="K326" s="103" t="str">
        <f t="shared" si="1"/>
        <v/>
      </c>
      <c r="L326" s="102"/>
      <c r="M326" s="102"/>
      <c r="N326" s="112"/>
      <c r="O326" s="102"/>
    </row>
    <row r="327" ht="14.25" customHeight="1">
      <c r="A327" s="102"/>
      <c r="B327" s="102"/>
      <c r="C327" s="102"/>
      <c r="D327" s="102"/>
      <c r="E327" s="102"/>
      <c r="F327" s="102"/>
      <c r="G327" s="102"/>
      <c r="H327" s="102"/>
      <c r="I327" s="112"/>
      <c r="J327" s="112"/>
      <c r="K327" s="103" t="str">
        <f t="shared" si="1"/>
        <v/>
      </c>
      <c r="L327" s="102"/>
      <c r="M327" s="102"/>
      <c r="N327" s="112"/>
      <c r="O327" s="102"/>
    </row>
    <row r="328" ht="14.25" customHeight="1">
      <c r="A328" s="102"/>
      <c r="B328" s="102"/>
      <c r="C328" s="102"/>
      <c r="D328" s="102"/>
      <c r="E328" s="102"/>
      <c r="F328" s="102"/>
      <c r="G328" s="102"/>
      <c r="H328" s="102"/>
      <c r="I328" s="112"/>
      <c r="J328" s="112"/>
      <c r="K328" s="103" t="str">
        <f t="shared" si="1"/>
        <v/>
      </c>
      <c r="L328" s="102"/>
      <c r="M328" s="102"/>
      <c r="N328" s="112"/>
      <c r="O328" s="102"/>
    </row>
    <row r="329" ht="14.25" customHeight="1">
      <c r="A329" s="102"/>
      <c r="B329" s="102"/>
      <c r="C329" s="102"/>
      <c r="D329" s="102"/>
      <c r="E329" s="102"/>
      <c r="F329" s="102"/>
      <c r="G329" s="102"/>
      <c r="H329" s="102"/>
      <c r="I329" s="112"/>
      <c r="J329" s="112"/>
      <c r="K329" s="103" t="str">
        <f t="shared" si="1"/>
        <v/>
      </c>
      <c r="L329" s="102"/>
      <c r="M329" s="102"/>
      <c r="N329" s="112"/>
      <c r="O329" s="102"/>
    </row>
    <row r="330" ht="14.25" customHeight="1">
      <c r="A330" s="102"/>
      <c r="B330" s="102"/>
      <c r="C330" s="102"/>
      <c r="D330" s="102"/>
      <c r="E330" s="102"/>
      <c r="F330" s="102"/>
      <c r="G330" s="102"/>
      <c r="H330" s="102"/>
      <c r="I330" s="112"/>
      <c r="J330" s="112"/>
      <c r="K330" s="103" t="str">
        <f t="shared" si="1"/>
        <v/>
      </c>
      <c r="L330" s="102"/>
      <c r="M330" s="102"/>
      <c r="N330" s="112"/>
      <c r="O330" s="102"/>
    </row>
    <row r="331" ht="14.25" customHeight="1">
      <c r="A331" s="102"/>
      <c r="B331" s="102"/>
      <c r="C331" s="102"/>
      <c r="D331" s="102"/>
      <c r="E331" s="102"/>
      <c r="F331" s="102"/>
      <c r="G331" s="102"/>
      <c r="H331" s="102"/>
      <c r="I331" s="112"/>
      <c r="J331" s="112"/>
      <c r="K331" s="103" t="str">
        <f t="shared" si="1"/>
        <v/>
      </c>
      <c r="L331" s="102"/>
      <c r="M331" s="102"/>
      <c r="N331" s="112"/>
      <c r="O331" s="102"/>
    </row>
    <row r="332" ht="14.25" customHeight="1">
      <c r="A332" s="102"/>
      <c r="B332" s="102"/>
      <c r="C332" s="102"/>
      <c r="D332" s="102"/>
      <c r="E332" s="102"/>
      <c r="F332" s="102"/>
      <c r="G332" s="102"/>
      <c r="H332" s="102"/>
      <c r="I332" s="112"/>
      <c r="J332" s="112"/>
      <c r="K332" s="103" t="str">
        <f t="shared" si="1"/>
        <v/>
      </c>
      <c r="L332" s="102"/>
      <c r="M332" s="102"/>
      <c r="N332" s="112"/>
      <c r="O332" s="102"/>
    </row>
    <row r="333" ht="14.25" customHeight="1">
      <c r="A333" s="102"/>
      <c r="B333" s="102"/>
      <c r="C333" s="102"/>
      <c r="D333" s="102"/>
      <c r="E333" s="102"/>
      <c r="F333" s="102"/>
      <c r="G333" s="102"/>
      <c r="H333" s="102"/>
      <c r="I333" s="112"/>
      <c r="J333" s="112"/>
      <c r="K333" s="103" t="str">
        <f t="shared" si="1"/>
        <v/>
      </c>
      <c r="L333" s="102"/>
      <c r="M333" s="102"/>
      <c r="N333" s="112"/>
      <c r="O333" s="102"/>
    </row>
    <row r="334" ht="14.25" customHeight="1">
      <c r="A334" s="102"/>
      <c r="B334" s="102"/>
      <c r="C334" s="102"/>
      <c r="D334" s="102"/>
      <c r="E334" s="102"/>
      <c r="F334" s="102"/>
      <c r="G334" s="102"/>
      <c r="H334" s="102"/>
      <c r="I334" s="112"/>
      <c r="J334" s="112"/>
      <c r="K334" s="103" t="str">
        <f t="shared" si="1"/>
        <v/>
      </c>
      <c r="L334" s="102"/>
      <c r="M334" s="102"/>
      <c r="N334" s="112"/>
      <c r="O334" s="102"/>
    </row>
    <row r="335" ht="14.25" customHeight="1">
      <c r="A335" s="102"/>
      <c r="B335" s="102"/>
      <c r="C335" s="102"/>
      <c r="D335" s="102"/>
      <c r="E335" s="102"/>
      <c r="F335" s="102"/>
      <c r="G335" s="102"/>
      <c r="H335" s="102"/>
      <c r="I335" s="112"/>
      <c r="J335" s="112"/>
      <c r="K335" s="103" t="str">
        <f t="shared" si="1"/>
        <v/>
      </c>
      <c r="L335" s="102"/>
      <c r="M335" s="102"/>
      <c r="N335" s="112"/>
      <c r="O335" s="102"/>
    </row>
    <row r="336" ht="14.25" customHeight="1">
      <c r="A336" s="102"/>
      <c r="B336" s="102"/>
      <c r="C336" s="102"/>
      <c r="D336" s="102"/>
      <c r="E336" s="102"/>
      <c r="F336" s="102"/>
      <c r="G336" s="102"/>
      <c r="H336" s="102"/>
      <c r="I336" s="112"/>
      <c r="J336" s="112"/>
      <c r="K336" s="103" t="str">
        <f t="shared" si="1"/>
        <v/>
      </c>
      <c r="L336" s="102"/>
      <c r="M336" s="102"/>
      <c r="N336" s="112"/>
      <c r="O336" s="102"/>
    </row>
    <row r="337" ht="14.25" customHeight="1">
      <c r="A337" s="102"/>
      <c r="B337" s="102"/>
      <c r="C337" s="102"/>
      <c r="D337" s="102"/>
      <c r="E337" s="102"/>
      <c r="F337" s="102"/>
      <c r="G337" s="102"/>
      <c r="H337" s="102"/>
      <c r="I337" s="112"/>
      <c r="J337" s="112"/>
      <c r="K337" s="103" t="str">
        <f t="shared" si="1"/>
        <v/>
      </c>
      <c r="L337" s="102"/>
      <c r="M337" s="102"/>
      <c r="N337" s="112"/>
      <c r="O337" s="102"/>
    </row>
    <row r="338" ht="14.25" customHeight="1">
      <c r="A338" s="102"/>
      <c r="B338" s="102"/>
      <c r="C338" s="102"/>
      <c r="D338" s="102"/>
      <c r="E338" s="102"/>
      <c r="F338" s="102"/>
      <c r="G338" s="102"/>
      <c r="H338" s="102"/>
      <c r="I338" s="112"/>
      <c r="J338" s="112"/>
      <c r="K338" s="103" t="str">
        <f t="shared" si="1"/>
        <v/>
      </c>
      <c r="L338" s="102"/>
      <c r="M338" s="102"/>
      <c r="N338" s="112"/>
      <c r="O338" s="102"/>
    </row>
    <row r="339" ht="14.25" customHeight="1">
      <c r="A339" s="102"/>
      <c r="B339" s="102"/>
      <c r="C339" s="102"/>
      <c r="D339" s="102"/>
      <c r="E339" s="102"/>
      <c r="F339" s="102"/>
      <c r="G339" s="102"/>
      <c r="H339" s="102"/>
      <c r="I339" s="112"/>
      <c r="J339" s="112"/>
      <c r="K339" s="103" t="str">
        <f t="shared" si="1"/>
        <v/>
      </c>
      <c r="L339" s="102"/>
      <c r="M339" s="102"/>
      <c r="N339" s="112"/>
      <c r="O339" s="102"/>
    </row>
    <row r="340" ht="14.25" customHeight="1">
      <c r="A340" s="102"/>
      <c r="B340" s="102"/>
      <c r="C340" s="102"/>
      <c r="D340" s="102"/>
      <c r="E340" s="102"/>
      <c r="F340" s="102"/>
      <c r="G340" s="102"/>
      <c r="H340" s="102"/>
      <c r="I340" s="112"/>
      <c r="J340" s="112"/>
      <c r="K340" s="103" t="str">
        <f t="shared" si="1"/>
        <v/>
      </c>
      <c r="L340" s="102"/>
      <c r="M340" s="102"/>
      <c r="N340" s="112"/>
      <c r="O340" s="102"/>
    </row>
    <row r="341" ht="14.25" customHeight="1">
      <c r="A341" s="102"/>
      <c r="B341" s="102"/>
      <c r="C341" s="102"/>
      <c r="D341" s="102"/>
      <c r="E341" s="102"/>
      <c r="F341" s="102"/>
      <c r="G341" s="102"/>
      <c r="H341" s="102"/>
      <c r="I341" s="112"/>
      <c r="J341" s="112"/>
      <c r="K341" s="103" t="str">
        <f t="shared" si="1"/>
        <v/>
      </c>
      <c r="L341" s="102"/>
      <c r="M341" s="102"/>
      <c r="N341" s="112"/>
      <c r="O341" s="102"/>
    </row>
    <row r="342" ht="14.25" customHeight="1">
      <c r="A342" s="102"/>
      <c r="B342" s="102"/>
      <c r="C342" s="102"/>
      <c r="D342" s="102"/>
      <c r="E342" s="102"/>
      <c r="F342" s="102"/>
      <c r="G342" s="102"/>
      <c r="H342" s="102"/>
      <c r="I342" s="112"/>
      <c r="J342" s="112"/>
      <c r="K342" s="103" t="str">
        <f t="shared" si="1"/>
        <v/>
      </c>
      <c r="L342" s="102"/>
      <c r="M342" s="102"/>
      <c r="N342" s="112"/>
      <c r="O342" s="102"/>
    </row>
    <row r="343" ht="14.25" customHeight="1">
      <c r="A343" s="102"/>
      <c r="B343" s="102"/>
      <c r="C343" s="102"/>
      <c r="D343" s="102"/>
      <c r="E343" s="102"/>
      <c r="F343" s="102"/>
      <c r="G343" s="102"/>
      <c r="H343" s="102"/>
      <c r="I343" s="112"/>
      <c r="J343" s="112"/>
      <c r="K343" s="103" t="str">
        <f t="shared" si="1"/>
        <v/>
      </c>
      <c r="L343" s="102"/>
      <c r="M343" s="102"/>
      <c r="N343" s="112"/>
      <c r="O343" s="102"/>
    </row>
    <row r="344" ht="14.25" customHeight="1">
      <c r="A344" s="102"/>
      <c r="B344" s="102"/>
      <c r="C344" s="102"/>
      <c r="D344" s="102"/>
      <c r="E344" s="102"/>
      <c r="F344" s="102"/>
      <c r="G344" s="102"/>
      <c r="H344" s="102"/>
      <c r="I344" s="112"/>
      <c r="J344" s="112"/>
      <c r="K344" s="103" t="str">
        <f t="shared" si="1"/>
        <v/>
      </c>
      <c r="L344" s="102"/>
      <c r="M344" s="102"/>
      <c r="N344" s="112"/>
      <c r="O344" s="102"/>
    </row>
    <row r="345" ht="14.25" customHeight="1">
      <c r="A345" s="102"/>
      <c r="B345" s="102"/>
      <c r="C345" s="102"/>
      <c r="D345" s="102"/>
      <c r="E345" s="102"/>
      <c r="F345" s="102"/>
      <c r="G345" s="102"/>
      <c r="H345" s="102"/>
      <c r="I345" s="112"/>
      <c r="J345" s="112"/>
      <c r="K345" s="103" t="str">
        <f t="shared" si="1"/>
        <v/>
      </c>
      <c r="L345" s="102"/>
      <c r="M345" s="102"/>
      <c r="N345" s="112"/>
      <c r="O345" s="102"/>
    </row>
    <row r="346" ht="14.25" customHeight="1">
      <c r="A346" s="102"/>
      <c r="B346" s="102"/>
      <c r="C346" s="102"/>
      <c r="D346" s="102"/>
      <c r="E346" s="102"/>
      <c r="F346" s="102"/>
      <c r="G346" s="102"/>
      <c r="H346" s="102"/>
      <c r="I346" s="112"/>
      <c r="J346" s="112"/>
      <c r="K346" s="103" t="str">
        <f t="shared" si="1"/>
        <v/>
      </c>
      <c r="L346" s="102"/>
      <c r="M346" s="102"/>
      <c r="N346" s="112"/>
      <c r="O346" s="102"/>
    </row>
    <row r="347" ht="14.25" customHeight="1">
      <c r="A347" s="102"/>
      <c r="B347" s="102"/>
      <c r="C347" s="102"/>
      <c r="D347" s="102"/>
      <c r="E347" s="102"/>
      <c r="F347" s="102"/>
      <c r="G347" s="102"/>
      <c r="H347" s="102"/>
      <c r="I347" s="112"/>
      <c r="J347" s="112"/>
      <c r="K347" s="103" t="str">
        <f t="shared" si="1"/>
        <v/>
      </c>
      <c r="L347" s="102"/>
      <c r="M347" s="102"/>
      <c r="N347" s="112"/>
      <c r="O347" s="102"/>
    </row>
    <row r="348" ht="14.25" customHeight="1">
      <c r="A348" s="102"/>
      <c r="B348" s="102"/>
      <c r="C348" s="102"/>
      <c r="D348" s="102"/>
      <c r="E348" s="102"/>
      <c r="F348" s="102"/>
      <c r="G348" s="102"/>
      <c r="H348" s="102"/>
      <c r="I348" s="112"/>
      <c r="J348" s="112"/>
      <c r="K348" s="103" t="str">
        <f t="shared" si="1"/>
        <v/>
      </c>
      <c r="L348" s="102"/>
      <c r="M348" s="102"/>
      <c r="N348" s="112"/>
      <c r="O348" s="102"/>
    </row>
    <row r="349" ht="14.25" customHeight="1">
      <c r="A349" s="102"/>
      <c r="B349" s="102"/>
      <c r="C349" s="102"/>
      <c r="D349" s="102"/>
      <c r="E349" s="102"/>
      <c r="F349" s="102"/>
      <c r="G349" s="102"/>
      <c r="H349" s="102"/>
      <c r="I349" s="112"/>
      <c r="J349" s="112"/>
      <c r="K349" s="103" t="str">
        <f t="shared" si="1"/>
        <v/>
      </c>
      <c r="L349" s="102"/>
      <c r="M349" s="102"/>
      <c r="N349" s="112"/>
      <c r="O349" s="102"/>
    </row>
    <row r="350" ht="14.25" customHeight="1">
      <c r="A350" s="102"/>
      <c r="B350" s="102"/>
      <c r="C350" s="102"/>
      <c r="D350" s="102"/>
      <c r="E350" s="102"/>
      <c r="F350" s="102"/>
      <c r="G350" s="102"/>
      <c r="H350" s="102"/>
      <c r="I350" s="112"/>
      <c r="J350" s="112"/>
      <c r="K350" s="103" t="str">
        <f t="shared" si="1"/>
        <v/>
      </c>
      <c r="L350" s="102"/>
      <c r="M350" s="102"/>
      <c r="N350" s="112"/>
      <c r="O350" s="102"/>
    </row>
    <row r="351" ht="14.25" customHeight="1">
      <c r="A351" s="102"/>
      <c r="B351" s="102"/>
      <c r="C351" s="102"/>
      <c r="D351" s="102"/>
      <c r="E351" s="102"/>
      <c r="F351" s="102"/>
      <c r="G351" s="102"/>
      <c r="H351" s="102"/>
      <c r="I351" s="112"/>
      <c r="J351" s="112"/>
      <c r="K351" s="103" t="str">
        <f t="shared" si="1"/>
        <v/>
      </c>
      <c r="L351" s="102"/>
      <c r="M351" s="102"/>
      <c r="N351" s="112"/>
      <c r="O351" s="102"/>
    </row>
    <row r="352" ht="14.25" customHeight="1">
      <c r="A352" s="102"/>
      <c r="B352" s="102"/>
      <c r="C352" s="102"/>
      <c r="D352" s="102"/>
      <c r="E352" s="102"/>
      <c r="F352" s="102"/>
      <c r="G352" s="102"/>
      <c r="H352" s="102"/>
      <c r="I352" s="112"/>
      <c r="J352" s="112"/>
      <c r="K352" s="103" t="str">
        <f t="shared" si="1"/>
        <v/>
      </c>
      <c r="L352" s="102"/>
      <c r="M352" s="102"/>
      <c r="N352" s="112"/>
      <c r="O352" s="102"/>
    </row>
    <row r="353" ht="14.25" customHeight="1">
      <c r="A353" s="102"/>
      <c r="B353" s="102"/>
      <c r="C353" s="102"/>
      <c r="D353" s="102"/>
      <c r="E353" s="102"/>
      <c r="F353" s="102"/>
      <c r="G353" s="102"/>
      <c r="H353" s="102"/>
      <c r="I353" s="112"/>
      <c r="J353" s="112"/>
      <c r="K353" s="103" t="str">
        <f t="shared" si="1"/>
        <v/>
      </c>
      <c r="L353" s="102"/>
      <c r="M353" s="102"/>
      <c r="N353" s="112"/>
      <c r="O353" s="102"/>
    </row>
    <row r="354" ht="14.25" customHeight="1">
      <c r="A354" s="102"/>
      <c r="B354" s="102"/>
      <c r="C354" s="102"/>
      <c r="D354" s="102"/>
      <c r="E354" s="102"/>
      <c r="F354" s="102"/>
      <c r="G354" s="102"/>
      <c r="H354" s="102"/>
      <c r="I354" s="112"/>
      <c r="J354" s="112"/>
      <c r="K354" s="103" t="str">
        <f t="shared" si="1"/>
        <v/>
      </c>
      <c r="L354" s="102"/>
      <c r="M354" s="102"/>
      <c r="N354" s="112"/>
      <c r="O354" s="102"/>
    </row>
    <row r="355" ht="14.25" customHeight="1">
      <c r="A355" s="102"/>
      <c r="B355" s="102"/>
      <c r="C355" s="102"/>
      <c r="D355" s="102"/>
      <c r="E355" s="102"/>
      <c r="F355" s="102"/>
      <c r="G355" s="102"/>
      <c r="H355" s="102"/>
      <c r="I355" s="112"/>
      <c r="J355" s="112"/>
      <c r="K355" s="103" t="str">
        <f t="shared" si="1"/>
        <v/>
      </c>
      <c r="L355" s="102"/>
      <c r="M355" s="102"/>
      <c r="N355" s="112"/>
      <c r="O355" s="102"/>
    </row>
    <row r="356" ht="14.25" customHeight="1">
      <c r="A356" s="102"/>
      <c r="B356" s="102"/>
      <c r="C356" s="102"/>
      <c r="D356" s="102"/>
      <c r="E356" s="102"/>
      <c r="F356" s="102"/>
      <c r="G356" s="102"/>
      <c r="H356" s="102"/>
      <c r="I356" s="112"/>
      <c r="J356" s="112"/>
      <c r="K356" s="103" t="str">
        <f t="shared" si="1"/>
        <v/>
      </c>
      <c r="L356" s="102"/>
      <c r="M356" s="102"/>
      <c r="N356" s="112"/>
      <c r="O356" s="102"/>
    </row>
    <row r="357" ht="14.25" customHeight="1">
      <c r="A357" s="102"/>
      <c r="B357" s="102"/>
      <c r="C357" s="102"/>
      <c r="D357" s="102"/>
      <c r="E357" s="102"/>
      <c r="F357" s="102"/>
      <c r="G357" s="102"/>
      <c r="H357" s="102"/>
      <c r="I357" s="112"/>
      <c r="J357" s="112"/>
      <c r="K357" s="103" t="str">
        <f t="shared" si="1"/>
        <v/>
      </c>
      <c r="L357" s="102"/>
      <c r="M357" s="102"/>
      <c r="N357" s="112"/>
      <c r="O357" s="102"/>
    </row>
    <row r="358" ht="14.25" customHeight="1">
      <c r="A358" s="102"/>
      <c r="B358" s="102"/>
      <c r="C358" s="102"/>
      <c r="D358" s="102"/>
      <c r="E358" s="102"/>
      <c r="F358" s="102"/>
      <c r="G358" s="102"/>
      <c r="H358" s="102"/>
      <c r="I358" s="112"/>
      <c r="J358" s="112"/>
      <c r="K358" s="103" t="str">
        <f t="shared" si="1"/>
        <v/>
      </c>
      <c r="L358" s="102"/>
      <c r="M358" s="102"/>
      <c r="N358" s="112"/>
      <c r="O358" s="102"/>
    </row>
    <row r="359" ht="14.25" customHeight="1">
      <c r="A359" s="102"/>
      <c r="B359" s="102"/>
      <c r="C359" s="102"/>
      <c r="D359" s="102"/>
      <c r="E359" s="102"/>
      <c r="F359" s="102"/>
      <c r="G359" s="102"/>
      <c r="H359" s="102"/>
      <c r="I359" s="112"/>
      <c r="J359" s="112"/>
      <c r="K359" s="103" t="str">
        <f t="shared" si="1"/>
        <v/>
      </c>
      <c r="L359" s="102"/>
      <c r="M359" s="102"/>
      <c r="N359" s="112"/>
      <c r="O359" s="102"/>
    </row>
    <row r="360" ht="14.25" customHeight="1">
      <c r="A360" s="102"/>
      <c r="B360" s="102"/>
      <c r="C360" s="102"/>
      <c r="D360" s="102"/>
      <c r="E360" s="102"/>
      <c r="F360" s="102"/>
      <c r="G360" s="102"/>
      <c r="H360" s="102"/>
      <c r="I360" s="112"/>
      <c r="J360" s="112"/>
      <c r="K360" s="103" t="str">
        <f t="shared" si="1"/>
        <v/>
      </c>
      <c r="L360" s="102"/>
      <c r="M360" s="102"/>
      <c r="N360" s="112"/>
      <c r="O360" s="102"/>
    </row>
    <row r="361" ht="14.25" customHeight="1">
      <c r="A361" s="102"/>
      <c r="B361" s="102"/>
      <c r="C361" s="102"/>
      <c r="D361" s="102"/>
      <c r="E361" s="102"/>
      <c r="F361" s="102"/>
      <c r="G361" s="102"/>
      <c r="H361" s="102"/>
      <c r="I361" s="112"/>
      <c r="J361" s="112"/>
      <c r="K361" s="103" t="str">
        <f t="shared" si="1"/>
        <v/>
      </c>
      <c r="L361" s="102"/>
      <c r="M361" s="102"/>
      <c r="N361" s="112"/>
      <c r="O361" s="102"/>
    </row>
    <row r="362" ht="14.25" customHeight="1">
      <c r="A362" s="102"/>
      <c r="B362" s="102"/>
      <c r="C362" s="102"/>
      <c r="D362" s="102"/>
      <c r="E362" s="102"/>
      <c r="F362" s="102"/>
      <c r="G362" s="102"/>
      <c r="H362" s="102"/>
      <c r="I362" s="112"/>
      <c r="J362" s="112"/>
      <c r="K362" s="103" t="str">
        <f t="shared" si="1"/>
        <v/>
      </c>
      <c r="L362" s="102"/>
      <c r="M362" s="102"/>
      <c r="N362" s="112"/>
      <c r="O362" s="102"/>
    </row>
    <row r="363" ht="14.25" customHeight="1">
      <c r="A363" s="102"/>
      <c r="B363" s="102"/>
      <c r="C363" s="102"/>
      <c r="D363" s="102"/>
      <c r="E363" s="102"/>
      <c r="F363" s="102"/>
      <c r="G363" s="102"/>
      <c r="H363" s="102"/>
      <c r="I363" s="112"/>
      <c r="J363" s="112"/>
      <c r="K363" s="103" t="str">
        <f t="shared" si="1"/>
        <v/>
      </c>
      <c r="L363" s="102"/>
      <c r="M363" s="102"/>
      <c r="N363" s="112"/>
      <c r="O363" s="102"/>
    </row>
    <row r="364" ht="14.25" customHeight="1">
      <c r="A364" s="102"/>
      <c r="B364" s="102"/>
      <c r="C364" s="102"/>
      <c r="D364" s="102"/>
      <c r="E364" s="102"/>
      <c r="F364" s="102"/>
      <c r="G364" s="102"/>
      <c r="H364" s="102"/>
      <c r="I364" s="112"/>
      <c r="J364" s="112"/>
      <c r="K364" s="103" t="str">
        <f t="shared" si="1"/>
        <v/>
      </c>
      <c r="L364" s="102"/>
      <c r="M364" s="102"/>
      <c r="N364" s="112"/>
      <c r="O364" s="102"/>
    </row>
    <row r="365" ht="14.25" customHeight="1">
      <c r="A365" s="102"/>
      <c r="B365" s="102"/>
      <c r="C365" s="102"/>
      <c r="D365" s="102"/>
      <c r="E365" s="102"/>
      <c r="F365" s="102"/>
      <c r="G365" s="102"/>
      <c r="H365" s="102"/>
      <c r="I365" s="112"/>
      <c r="J365" s="112"/>
      <c r="K365" s="103" t="str">
        <f t="shared" si="1"/>
        <v/>
      </c>
      <c r="L365" s="102"/>
      <c r="M365" s="102"/>
      <c r="N365" s="112"/>
      <c r="O365" s="102"/>
    </row>
    <row r="366" ht="14.25" customHeight="1">
      <c r="A366" s="102"/>
      <c r="B366" s="102"/>
      <c r="C366" s="102"/>
      <c r="D366" s="102"/>
      <c r="E366" s="102"/>
      <c r="F366" s="102"/>
      <c r="G366" s="102"/>
      <c r="H366" s="102"/>
      <c r="I366" s="112"/>
      <c r="J366" s="112"/>
      <c r="K366" s="103" t="str">
        <f t="shared" si="1"/>
        <v/>
      </c>
      <c r="L366" s="102"/>
      <c r="M366" s="102"/>
      <c r="N366" s="112"/>
      <c r="O366" s="102"/>
    </row>
    <row r="367" ht="14.25" customHeight="1">
      <c r="A367" s="102"/>
      <c r="B367" s="102"/>
      <c r="C367" s="102"/>
      <c r="D367" s="102"/>
      <c r="E367" s="102"/>
      <c r="F367" s="102"/>
      <c r="G367" s="102"/>
      <c r="H367" s="102"/>
      <c r="I367" s="112"/>
      <c r="J367" s="112"/>
      <c r="K367" s="103" t="str">
        <f t="shared" si="1"/>
        <v/>
      </c>
      <c r="L367" s="102"/>
      <c r="M367" s="102"/>
      <c r="N367" s="112"/>
      <c r="O367" s="102"/>
    </row>
    <row r="368" ht="14.25" customHeight="1">
      <c r="A368" s="102"/>
      <c r="B368" s="102"/>
      <c r="C368" s="102"/>
      <c r="D368" s="102"/>
      <c r="E368" s="102"/>
      <c r="F368" s="102"/>
      <c r="G368" s="102"/>
      <c r="H368" s="102"/>
      <c r="I368" s="112"/>
      <c r="J368" s="112"/>
      <c r="K368" s="103" t="str">
        <f t="shared" si="1"/>
        <v/>
      </c>
      <c r="L368" s="102"/>
      <c r="M368" s="102"/>
      <c r="N368" s="112"/>
      <c r="O368" s="102"/>
    </row>
    <row r="369" ht="14.25" customHeight="1">
      <c r="A369" s="102"/>
      <c r="B369" s="102"/>
      <c r="C369" s="102"/>
      <c r="D369" s="102"/>
      <c r="E369" s="102"/>
      <c r="F369" s="102"/>
      <c r="G369" s="102"/>
      <c r="H369" s="102"/>
      <c r="I369" s="112"/>
      <c r="J369" s="112"/>
      <c r="K369" s="103" t="str">
        <f t="shared" si="1"/>
        <v/>
      </c>
      <c r="L369" s="102"/>
      <c r="M369" s="102"/>
      <c r="N369" s="112"/>
      <c r="O369" s="102"/>
    </row>
    <row r="370" ht="14.25" customHeight="1">
      <c r="A370" s="102"/>
      <c r="B370" s="102"/>
      <c r="C370" s="102"/>
      <c r="D370" s="102"/>
      <c r="E370" s="102"/>
      <c r="F370" s="102"/>
      <c r="G370" s="102"/>
      <c r="H370" s="102"/>
      <c r="I370" s="112"/>
      <c r="J370" s="112"/>
      <c r="K370" s="103" t="str">
        <f t="shared" si="1"/>
        <v/>
      </c>
      <c r="L370" s="102"/>
      <c r="M370" s="102"/>
      <c r="N370" s="112"/>
      <c r="O370" s="102"/>
    </row>
    <row r="371" ht="14.25" customHeight="1">
      <c r="A371" s="102"/>
      <c r="B371" s="102"/>
      <c r="C371" s="102"/>
      <c r="D371" s="102"/>
      <c r="E371" s="102"/>
      <c r="F371" s="102"/>
      <c r="G371" s="102"/>
      <c r="H371" s="102"/>
      <c r="I371" s="112"/>
      <c r="J371" s="112"/>
      <c r="K371" s="103" t="str">
        <f t="shared" si="1"/>
        <v/>
      </c>
      <c r="L371" s="102"/>
      <c r="M371" s="102"/>
      <c r="N371" s="112"/>
      <c r="O371" s="102"/>
    </row>
    <row r="372" ht="14.25" customHeight="1">
      <c r="A372" s="102"/>
      <c r="B372" s="102"/>
      <c r="C372" s="102"/>
      <c r="D372" s="102"/>
      <c r="E372" s="102"/>
      <c r="F372" s="102"/>
      <c r="G372" s="102"/>
      <c r="H372" s="102"/>
      <c r="I372" s="112"/>
      <c r="J372" s="112"/>
      <c r="K372" s="103" t="str">
        <f t="shared" si="1"/>
        <v/>
      </c>
      <c r="L372" s="102"/>
      <c r="M372" s="102"/>
      <c r="N372" s="112"/>
      <c r="O372" s="102"/>
    </row>
    <row r="373" ht="14.25" customHeight="1">
      <c r="A373" s="102"/>
      <c r="B373" s="102"/>
      <c r="C373" s="102"/>
      <c r="D373" s="102"/>
      <c r="E373" s="102"/>
      <c r="F373" s="102"/>
      <c r="G373" s="102"/>
      <c r="H373" s="102"/>
      <c r="I373" s="112"/>
      <c r="J373" s="112"/>
      <c r="K373" s="103" t="str">
        <f t="shared" si="1"/>
        <v/>
      </c>
      <c r="L373" s="102"/>
      <c r="M373" s="102"/>
      <c r="N373" s="112"/>
      <c r="O373" s="102"/>
    </row>
    <row r="374" ht="14.25" customHeight="1">
      <c r="A374" s="102"/>
      <c r="B374" s="102"/>
      <c r="C374" s="102"/>
      <c r="D374" s="102"/>
      <c r="E374" s="102"/>
      <c r="F374" s="102"/>
      <c r="G374" s="102"/>
      <c r="H374" s="102"/>
      <c r="I374" s="112"/>
      <c r="J374" s="112"/>
      <c r="K374" s="103" t="str">
        <f t="shared" si="1"/>
        <v/>
      </c>
      <c r="L374" s="102"/>
      <c r="M374" s="102"/>
      <c r="N374" s="112"/>
      <c r="O374" s="102"/>
    </row>
    <row r="375" ht="14.25" customHeight="1">
      <c r="A375" s="102"/>
      <c r="B375" s="102"/>
      <c r="C375" s="102"/>
      <c r="D375" s="102"/>
      <c r="E375" s="102"/>
      <c r="F375" s="102"/>
      <c r="G375" s="102"/>
      <c r="H375" s="102"/>
      <c r="I375" s="112"/>
      <c r="J375" s="112"/>
      <c r="K375" s="103" t="str">
        <f t="shared" si="1"/>
        <v/>
      </c>
      <c r="L375" s="102"/>
      <c r="M375" s="102"/>
      <c r="N375" s="112"/>
      <c r="O375" s="102"/>
    </row>
    <row r="376" ht="14.25" customHeight="1">
      <c r="A376" s="102"/>
      <c r="B376" s="102"/>
      <c r="C376" s="102"/>
      <c r="D376" s="102"/>
      <c r="E376" s="102"/>
      <c r="F376" s="102"/>
      <c r="G376" s="102"/>
      <c r="H376" s="102"/>
      <c r="I376" s="112"/>
      <c r="J376" s="112"/>
      <c r="K376" s="103" t="str">
        <f t="shared" si="1"/>
        <v/>
      </c>
      <c r="L376" s="102"/>
      <c r="M376" s="102"/>
      <c r="N376" s="112"/>
      <c r="O376" s="102"/>
    </row>
    <row r="377" ht="14.25" customHeight="1">
      <c r="A377" s="102"/>
      <c r="B377" s="102"/>
      <c r="C377" s="102"/>
      <c r="D377" s="102"/>
      <c r="E377" s="102"/>
      <c r="F377" s="102"/>
      <c r="G377" s="102"/>
      <c r="H377" s="102"/>
      <c r="I377" s="112"/>
      <c r="J377" s="112"/>
      <c r="K377" s="103" t="str">
        <f t="shared" si="1"/>
        <v/>
      </c>
      <c r="L377" s="102"/>
      <c r="M377" s="102"/>
      <c r="N377" s="112"/>
      <c r="O377" s="102"/>
    </row>
    <row r="378" ht="14.25" customHeight="1">
      <c r="A378" s="102"/>
      <c r="B378" s="102"/>
      <c r="C378" s="102"/>
      <c r="D378" s="102"/>
      <c r="E378" s="102"/>
      <c r="F378" s="102"/>
      <c r="G378" s="102"/>
      <c r="H378" s="102"/>
      <c r="I378" s="112"/>
      <c r="J378" s="112"/>
      <c r="K378" s="103" t="str">
        <f t="shared" si="1"/>
        <v/>
      </c>
      <c r="L378" s="102"/>
      <c r="M378" s="102"/>
      <c r="N378" s="112"/>
      <c r="O378" s="102"/>
    </row>
    <row r="379" ht="14.25" customHeight="1">
      <c r="A379" s="102"/>
      <c r="B379" s="102"/>
      <c r="C379" s="102"/>
      <c r="D379" s="102"/>
      <c r="E379" s="102"/>
      <c r="F379" s="102"/>
      <c r="G379" s="102"/>
      <c r="H379" s="102"/>
      <c r="I379" s="112"/>
      <c r="J379" s="112"/>
      <c r="K379" s="103" t="str">
        <f t="shared" si="1"/>
        <v/>
      </c>
      <c r="L379" s="102"/>
      <c r="M379" s="102"/>
      <c r="N379" s="112"/>
      <c r="O379" s="102"/>
    </row>
    <row r="380" ht="14.25" customHeight="1">
      <c r="A380" s="102"/>
      <c r="B380" s="102"/>
      <c r="C380" s="102"/>
      <c r="D380" s="102"/>
      <c r="E380" s="102"/>
      <c r="F380" s="102"/>
      <c r="G380" s="102"/>
      <c r="H380" s="102"/>
      <c r="I380" s="112"/>
      <c r="J380" s="112"/>
      <c r="K380" s="103" t="str">
        <f t="shared" si="1"/>
        <v/>
      </c>
      <c r="L380" s="102"/>
      <c r="M380" s="102"/>
      <c r="N380" s="112"/>
      <c r="O380" s="102"/>
    </row>
    <row r="381" ht="14.25" customHeight="1">
      <c r="A381" s="102"/>
      <c r="B381" s="102"/>
      <c r="C381" s="102"/>
      <c r="D381" s="102"/>
      <c r="E381" s="102"/>
      <c r="F381" s="102"/>
      <c r="G381" s="102"/>
      <c r="H381" s="102"/>
      <c r="I381" s="112"/>
      <c r="J381" s="112"/>
      <c r="K381" s="103" t="str">
        <f t="shared" si="1"/>
        <v/>
      </c>
      <c r="L381" s="102"/>
      <c r="M381" s="102"/>
      <c r="N381" s="112"/>
      <c r="O381" s="102"/>
    </row>
    <row r="382" ht="14.25" customHeight="1">
      <c r="A382" s="102"/>
      <c r="B382" s="102"/>
      <c r="C382" s="102"/>
      <c r="D382" s="102"/>
      <c r="E382" s="102"/>
      <c r="F382" s="102"/>
      <c r="G382" s="102"/>
      <c r="H382" s="102"/>
      <c r="I382" s="112"/>
      <c r="J382" s="112"/>
      <c r="K382" s="103" t="str">
        <f t="shared" si="1"/>
        <v/>
      </c>
      <c r="L382" s="102"/>
      <c r="M382" s="102"/>
      <c r="N382" s="112"/>
      <c r="O382" s="102"/>
    </row>
    <row r="383" ht="14.25" customHeight="1">
      <c r="A383" s="102"/>
      <c r="B383" s="102"/>
      <c r="C383" s="102"/>
      <c r="D383" s="102"/>
      <c r="E383" s="102"/>
      <c r="F383" s="102"/>
      <c r="G383" s="102"/>
      <c r="H383" s="102"/>
      <c r="I383" s="112"/>
      <c r="J383" s="112"/>
      <c r="K383" s="103" t="str">
        <f t="shared" si="1"/>
        <v/>
      </c>
      <c r="L383" s="102"/>
      <c r="M383" s="102"/>
      <c r="N383" s="112"/>
      <c r="O383" s="102"/>
    </row>
    <row r="384" ht="14.25" customHeight="1">
      <c r="A384" s="102"/>
      <c r="B384" s="102"/>
      <c r="C384" s="102"/>
      <c r="D384" s="102"/>
      <c r="E384" s="102"/>
      <c r="F384" s="102"/>
      <c r="G384" s="102"/>
      <c r="H384" s="102"/>
      <c r="I384" s="112"/>
      <c r="J384" s="112"/>
      <c r="K384" s="103" t="str">
        <f t="shared" si="1"/>
        <v/>
      </c>
      <c r="L384" s="102"/>
      <c r="M384" s="102"/>
      <c r="N384" s="112"/>
      <c r="O384" s="102"/>
    </row>
    <row r="385" ht="14.25" customHeight="1">
      <c r="A385" s="102"/>
      <c r="B385" s="102"/>
      <c r="C385" s="102"/>
      <c r="D385" s="102"/>
      <c r="E385" s="102"/>
      <c r="F385" s="102"/>
      <c r="G385" s="102"/>
      <c r="H385" s="102"/>
      <c r="I385" s="112"/>
      <c r="J385" s="112"/>
      <c r="K385" s="103" t="str">
        <f t="shared" si="1"/>
        <v/>
      </c>
      <c r="L385" s="102"/>
      <c r="M385" s="102"/>
      <c r="N385" s="112"/>
      <c r="O385" s="102"/>
    </row>
    <row r="386" ht="14.25" customHeight="1">
      <c r="A386" s="102"/>
      <c r="B386" s="102"/>
      <c r="C386" s="102"/>
      <c r="D386" s="102"/>
      <c r="E386" s="102"/>
      <c r="F386" s="102"/>
      <c r="G386" s="102"/>
      <c r="H386" s="102"/>
      <c r="I386" s="112"/>
      <c r="J386" s="112"/>
      <c r="K386" s="103" t="str">
        <f t="shared" si="1"/>
        <v/>
      </c>
      <c r="L386" s="102"/>
      <c r="M386" s="102"/>
      <c r="N386" s="112"/>
      <c r="O386" s="102"/>
    </row>
    <row r="387" ht="14.25" customHeight="1">
      <c r="A387" s="102"/>
      <c r="B387" s="102"/>
      <c r="C387" s="102"/>
      <c r="D387" s="102"/>
      <c r="E387" s="102"/>
      <c r="F387" s="102"/>
      <c r="G387" s="102"/>
      <c r="H387" s="102"/>
      <c r="I387" s="112"/>
      <c r="J387" s="112"/>
      <c r="K387" s="103" t="str">
        <f t="shared" si="1"/>
        <v/>
      </c>
      <c r="L387" s="102"/>
      <c r="M387" s="102"/>
      <c r="N387" s="112"/>
      <c r="O387" s="102"/>
    </row>
    <row r="388" ht="14.25" customHeight="1">
      <c r="A388" s="102"/>
      <c r="B388" s="102"/>
      <c r="C388" s="102"/>
      <c r="D388" s="102"/>
      <c r="E388" s="102"/>
      <c r="F388" s="102"/>
      <c r="G388" s="102"/>
      <c r="H388" s="102"/>
      <c r="I388" s="112"/>
      <c r="J388" s="112"/>
      <c r="K388" s="103" t="str">
        <f t="shared" si="1"/>
        <v/>
      </c>
      <c r="L388" s="102"/>
      <c r="M388" s="102"/>
      <c r="N388" s="112"/>
      <c r="O388" s="102"/>
    </row>
    <row r="389" ht="14.25" customHeight="1">
      <c r="A389" s="102"/>
      <c r="B389" s="102"/>
      <c r="C389" s="102"/>
      <c r="D389" s="102"/>
      <c r="E389" s="102"/>
      <c r="F389" s="102"/>
      <c r="G389" s="102"/>
      <c r="H389" s="102"/>
      <c r="I389" s="112"/>
      <c r="J389" s="112"/>
      <c r="K389" s="103" t="str">
        <f t="shared" si="1"/>
        <v/>
      </c>
      <c r="L389" s="102"/>
      <c r="M389" s="102"/>
      <c r="N389" s="112"/>
      <c r="O389" s="102"/>
    </row>
    <row r="390" ht="14.25" customHeight="1">
      <c r="A390" s="102"/>
      <c r="B390" s="102"/>
      <c r="C390" s="102"/>
      <c r="D390" s="102"/>
      <c r="E390" s="102"/>
      <c r="F390" s="102"/>
      <c r="G390" s="102"/>
      <c r="H390" s="102"/>
      <c r="I390" s="112"/>
      <c r="J390" s="112"/>
      <c r="K390" s="103" t="str">
        <f t="shared" si="1"/>
        <v/>
      </c>
      <c r="L390" s="102"/>
      <c r="M390" s="102"/>
      <c r="N390" s="112"/>
      <c r="O390" s="102"/>
    </row>
    <row r="391" ht="14.25" customHeight="1">
      <c r="A391" s="102"/>
      <c r="B391" s="102"/>
      <c r="C391" s="102"/>
      <c r="D391" s="102"/>
      <c r="E391" s="102"/>
      <c r="F391" s="102"/>
      <c r="G391" s="102"/>
      <c r="H391" s="102"/>
      <c r="I391" s="112"/>
      <c r="J391" s="112"/>
      <c r="K391" s="103" t="str">
        <f t="shared" si="1"/>
        <v/>
      </c>
      <c r="L391" s="102"/>
      <c r="M391" s="102"/>
      <c r="N391" s="112"/>
      <c r="O391" s="102"/>
    </row>
    <row r="392" ht="14.25" customHeight="1">
      <c r="A392" s="102"/>
      <c r="B392" s="102"/>
      <c r="C392" s="102"/>
      <c r="D392" s="102"/>
      <c r="E392" s="102"/>
      <c r="F392" s="102"/>
      <c r="G392" s="102"/>
      <c r="H392" s="102"/>
      <c r="I392" s="112"/>
      <c r="J392" s="112"/>
      <c r="K392" s="103" t="str">
        <f t="shared" si="1"/>
        <v/>
      </c>
      <c r="L392" s="102"/>
      <c r="M392" s="102"/>
      <c r="N392" s="112"/>
      <c r="O392" s="102"/>
    </row>
    <row r="393" ht="14.25" customHeight="1">
      <c r="A393" s="102"/>
      <c r="B393" s="102"/>
      <c r="C393" s="102"/>
      <c r="D393" s="102"/>
      <c r="E393" s="102"/>
      <c r="F393" s="102"/>
      <c r="G393" s="102"/>
      <c r="H393" s="102"/>
      <c r="I393" s="112"/>
      <c r="J393" s="112"/>
      <c r="K393" s="103" t="str">
        <f t="shared" si="1"/>
        <v/>
      </c>
      <c r="L393" s="102"/>
      <c r="M393" s="102"/>
      <c r="N393" s="112"/>
      <c r="O393" s="102"/>
    </row>
    <row r="394" ht="14.25" customHeight="1">
      <c r="A394" s="102"/>
      <c r="B394" s="102"/>
      <c r="C394" s="102"/>
      <c r="D394" s="102"/>
      <c r="E394" s="102"/>
      <c r="F394" s="102"/>
      <c r="G394" s="102"/>
      <c r="H394" s="102"/>
      <c r="I394" s="112"/>
      <c r="J394" s="112"/>
      <c r="K394" s="103" t="str">
        <f t="shared" si="1"/>
        <v/>
      </c>
      <c r="L394" s="102"/>
      <c r="M394" s="102"/>
      <c r="N394" s="112"/>
      <c r="O394" s="102"/>
    </row>
    <row r="395" ht="14.25" customHeight="1">
      <c r="A395" s="102"/>
      <c r="B395" s="102"/>
      <c r="C395" s="102"/>
      <c r="D395" s="102"/>
      <c r="E395" s="102"/>
      <c r="F395" s="102"/>
      <c r="G395" s="102"/>
      <c r="H395" s="102"/>
      <c r="I395" s="112"/>
      <c r="J395" s="112"/>
      <c r="K395" s="103" t="str">
        <f t="shared" si="1"/>
        <v/>
      </c>
      <c r="L395" s="102"/>
      <c r="M395" s="102"/>
      <c r="N395" s="112"/>
      <c r="O395" s="102"/>
    </row>
    <row r="396" ht="14.25" customHeight="1">
      <c r="A396" s="102"/>
      <c r="B396" s="102"/>
      <c r="C396" s="102"/>
      <c r="D396" s="102"/>
      <c r="E396" s="102"/>
      <c r="F396" s="102"/>
      <c r="G396" s="102"/>
      <c r="H396" s="102"/>
      <c r="I396" s="112"/>
      <c r="J396" s="112"/>
      <c r="K396" s="103" t="str">
        <f t="shared" si="1"/>
        <v/>
      </c>
      <c r="L396" s="102"/>
      <c r="M396" s="102"/>
      <c r="N396" s="112"/>
      <c r="O396" s="102"/>
    </row>
    <row r="397" ht="14.25" customHeight="1">
      <c r="A397" s="102"/>
      <c r="B397" s="102"/>
      <c r="C397" s="102"/>
      <c r="D397" s="102"/>
      <c r="E397" s="102"/>
      <c r="F397" s="102"/>
      <c r="G397" s="102"/>
      <c r="H397" s="102"/>
      <c r="I397" s="112"/>
      <c r="J397" s="112"/>
      <c r="K397" s="103" t="str">
        <f t="shared" si="1"/>
        <v/>
      </c>
      <c r="L397" s="102"/>
      <c r="M397" s="102"/>
      <c r="N397" s="112"/>
      <c r="O397" s="102"/>
    </row>
    <row r="398" ht="14.25" customHeight="1">
      <c r="A398" s="102"/>
      <c r="B398" s="102"/>
      <c r="C398" s="102"/>
      <c r="D398" s="102"/>
      <c r="E398" s="102"/>
      <c r="F398" s="102"/>
      <c r="G398" s="102"/>
      <c r="H398" s="102"/>
      <c r="I398" s="112"/>
      <c r="J398" s="112"/>
      <c r="K398" s="103" t="str">
        <f t="shared" si="1"/>
        <v/>
      </c>
      <c r="L398" s="102"/>
      <c r="M398" s="102"/>
      <c r="N398" s="112"/>
      <c r="O398" s="102"/>
    </row>
    <row r="399" ht="14.25" customHeight="1">
      <c r="A399" s="102"/>
      <c r="B399" s="102"/>
      <c r="C399" s="102"/>
      <c r="D399" s="102"/>
      <c r="E399" s="102"/>
      <c r="F399" s="102"/>
      <c r="G399" s="102"/>
      <c r="H399" s="102"/>
      <c r="I399" s="112"/>
      <c r="J399" s="112"/>
      <c r="K399" s="103" t="str">
        <f t="shared" si="1"/>
        <v/>
      </c>
      <c r="L399" s="102"/>
      <c r="M399" s="102"/>
      <c r="N399" s="112"/>
      <c r="O399" s="102"/>
    </row>
    <row r="400" ht="14.25" customHeight="1">
      <c r="A400" s="102"/>
      <c r="B400" s="102"/>
      <c r="C400" s="102"/>
      <c r="D400" s="102"/>
      <c r="E400" s="102"/>
      <c r="F400" s="102"/>
      <c r="G400" s="102"/>
      <c r="H400" s="102"/>
      <c r="I400" s="112"/>
      <c r="J400" s="112"/>
      <c r="K400" s="103" t="str">
        <f t="shared" si="1"/>
        <v/>
      </c>
      <c r="L400" s="102"/>
      <c r="M400" s="102"/>
      <c r="N400" s="112"/>
      <c r="O400" s="102"/>
    </row>
    <row r="401" ht="14.25" customHeight="1">
      <c r="A401" s="102"/>
      <c r="B401" s="102"/>
      <c r="C401" s="102"/>
      <c r="D401" s="102"/>
      <c r="E401" s="102"/>
      <c r="F401" s="102"/>
      <c r="G401" s="102"/>
      <c r="H401" s="102"/>
      <c r="I401" s="112"/>
      <c r="J401" s="112"/>
      <c r="K401" s="103" t="str">
        <f t="shared" si="1"/>
        <v/>
      </c>
      <c r="L401" s="102"/>
      <c r="M401" s="102"/>
      <c r="N401" s="112"/>
      <c r="O401" s="102"/>
    </row>
    <row r="402" ht="14.25" customHeight="1">
      <c r="A402" s="102"/>
      <c r="B402" s="102"/>
      <c r="C402" s="102"/>
      <c r="D402" s="102"/>
      <c r="E402" s="102"/>
      <c r="F402" s="102"/>
      <c r="G402" s="102"/>
      <c r="H402" s="102"/>
      <c r="I402" s="112"/>
      <c r="J402" s="112"/>
      <c r="K402" s="103" t="str">
        <f t="shared" si="1"/>
        <v/>
      </c>
      <c r="L402" s="102"/>
      <c r="M402" s="102"/>
      <c r="N402" s="112"/>
      <c r="O402" s="102"/>
    </row>
    <row r="403" ht="14.25" customHeight="1">
      <c r="A403" s="102"/>
      <c r="B403" s="102"/>
      <c r="C403" s="102"/>
      <c r="D403" s="102"/>
      <c r="E403" s="102"/>
      <c r="F403" s="102"/>
      <c r="G403" s="102"/>
      <c r="H403" s="102"/>
      <c r="I403" s="112"/>
      <c r="J403" s="112"/>
      <c r="K403" s="103" t="str">
        <f t="shared" si="1"/>
        <v/>
      </c>
      <c r="L403" s="102"/>
      <c r="M403" s="102"/>
      <c r="N403" s="112"/>
      <c r="O403" s="102"/>
    </row>
    <row r="404" ht="14.25" customHeight="1">
      <c r="A404" s="102"/>
      <c r="B404" s="102"/>
      <c r="C404" s="102"/>
      <c r="D404" s="102"/>
      <c r="E404" s="102"/>
      <c r="F404" s="102"/>
      <c r="G404" s="102"/>
      <c r="H404" s="102"/>
      <c r="I404" s="112"/>
      <c r="J404" s="112"/>
      <c r="K404" s="103" t="str">
        <f t="shared" si="1"/>
        <v/>
      </c>
      <c r="L404" s="102"/>
      <c r="M404" s="102"/>
      <c r="N404" s="112"/>
      <c r="O404" s="102"/>
    </row>
    <row r="405" ht="14.25" customHeight="1">
      <c r="A405" s="102"/>
      <c r="B405" s="102"/>
      <c r="C405" s="102"/>
      <c r="D405" s="102"/>
      <c r="E405" s="102"/>
      <c r="F405" s="102"/>
      <c r="G405" s="102"/>
      <c r="H405" s="102"/>
      <c r="I405" s="112"/>
      <c r="J405" s="112"/>
      <c r="K405" s="103" t="str">
        <f t="shared" si="1"/>
        <v/>
      </c>
      <c r="L405" s="102"/>
      <c r="M405" s="102"/>
      <c r="N405" s="112"/>
      <c r="O405" s="102"/>
    </row>
    <row r="406" ht="14.25" customHeight="1">
      <c r="A406" s="102"/>
      <c r="B406" s="102"/>
      <c r="C406" s="102"/>
      <c r="D406" s="102"/>
      <c r="E406" s="102"/>
      <c r="F406" s="102"/>
      <c r="G406" s="102"/>
      <c r="H406" s="102"/>
      <c r="I406" s="112"/>
      <c r="J406" s="112"/>
      <c r="K406" s="103" t="str">
        <f t="shared" si="1"/>
        <v/>
      </c>
      <c r="L406" s="102"/>
      <c r="M406" s="102"/>
      <c r="N406" s="112"/>
      <c r="O406" s="102"/>
    </row>
    <row r="407" ht="14.25" customHeight="1">
      <c r="A407" s="102"/>
      <c r="B407" s="102"/>
      <c r="C407" s="102"/>
      <c r="D407" s="102"/>
      <c r="E407" s="102"/>
      <c r="F407" s="102"/>
      <c r="G407" s="102"/>
      <c r="H407" s="102"/>
      <c r="I407" s="112"/>
      <c r="J407" s="112"/>
      <c r="K407" s="103" t="str">
        <f t="shared" si="1"/>
        <v/>
      </c>
      <c r="L407" s="102"/>
      <c r="M407" s="102"/>
      <c r="N407" s="112"/>
      <c r="O407" s="102"/>
    </row>
    <row r="408" ht="14.25" customHeight="1">
      <c r="A408" s="102"/>
      <c r="B408" s="102"/>
      <c r="C408" s="102"/>
      <c r="D408" s="102"/>
      <c r="E408" s="102"/>
      <c r="F408" s="102"/>
      <c r="G408" s="102"/>
      <c r="H408" s="102"/>
      <c r="I408" s="112"/>
      <c r="J408" s="112"/>
      <c r="K408" s="103" t="str">
        <f t="shared" si="1"/>
        <v/>
      </c>
      <c r="L408" s="102"/>
      <c r="M408" s="102"/>
      <c r="N408" s="112"/>
      <c r="O408" s="102"/>
    </row>
    <row r="409" ht="14.25" customHeight="1">
      <c r="A409" s="102"/>
      <c r="B409" s="102"/>
      <c r="C409" s="102"/>
      <c r="D409" s="102"/>
      <c r="E409" s="102"/>
      <c r="F409" s="102"/>
      <c r="G409" s="102"/>
      <c r="H409" s="102"/>
      <c r="I409" s="112"/>
      <c r="J409" s="112"/>
      <c r="K409" s="103" t="str">
        <f t="shared" si="1"/>
        <v/>
      </c>
      <c r="L409" s="102"/>
      <c r="M409" s="102"/>
      <c r="N409" s="112"/>
      <c r="O409" s="102"/>
    </row>
    <row r="410" ht="14.25" customHeight="1">
      <c r="A410" s="102"/>
      <c r="B410" s="102"/>
      <c r="C410" s="102"/>
      <c r="D410" s="102"/>
      <c r="E410" s="102"/>
      <c r="F410" s="102"/>
      <c r="G410" s="102"/>
      <c r="H410" s="102"/>
      <c r="I410" s="112"/>
      <c r="J410" s="112"/>
      <c r="K410" s="103" t="str">
        <f t="shared" si="1"/>
        <v/>
      </c>
      <c r="L410" s="102"/>
      <c r="M410" s="102"/>
      <c r="N410" s="112"/>
      <c r="O410" s="102"/>
    </row>
    <row r="411" ht="14.25" customHeight="1">
      <c r="A411" s="102"/>
      <c r="B411" s="102"/>
      <c r="C411" s="102"/>
      <c r="D411" s="102"/>
      <c r="E411" s="102"/>
      <c r="F411" s="102"/>
      <c r="G411" s="102"/>
      <c r="H411" s="102"/>
      <c r="I411" s="112"/>
      <c r="J411" s="112"/>
      <c r="K411" s="103" t="str">
        <f t="shared" si="1"/>
        <v/>
      </c>
      <c r="L411" s="102"/>
      <c r="M411" s="102"/>
      <c r="N411" s="112"/>
      <c r="O411" s="102"/>
    </row>
    <row r="412" ht="14.25" customHeight="1">
      <c r="A412" s="102"/>
      <c r="B412" s="102"/>
      <c r="C412" s="102"/>
      <c r="D412" s="102"/>
      <c r="E412" s="102"/>
      <c r="F412" s="102"/>
      <c r="G412" s="102"/>
      <c r="H412" s="102"/>
      <c r="I412" s="112"/>
      <c r="J412" s="112"/>
      <c r="K412" s="103" t="str">
        <f t="shared" si="1"/>
        <v/>
      </c>
      <c r="L412" s="102"/>
      <c r="M412" s="102"/>
      <c r="N412" s="112"/>
      <c r="O412" s="102"/>
    </row>
    <row r="413" ht="14.25" customHeight="1">
      <c r="A413" s="102"/>
      <c r="B413" s="102"/>
      <c r="C413" s="102"/>
      <c r="D413" s="102"/>
      <c r="E413" s="102"/>
      <c r="F413" s="102"/>
      <c r="G413" s="102"/>
      <c r="H413" s="102"/>
      <c r="I413" s="112"/>
      <c r="J413" s="112"/>
      <c r="K413" s="103" t="str">
        <f t="shared" si="1"/>
        <v/>
      </c>
      <c r="L413" s="102"/>
      <c r="M413" s="102"/>
      <c r="N413" s="112"/>
      <c r="O413" s="102"/>
    </row>
    <row r="414" ht="14.25" customHeight="1">
      <c r="A414" s="102"/>
      <c r="B414" s="102"/>
      <c r="C414" s="102"/>
      <c r="D414" s="102"/>
      <c r="E414" s="102"/>
      <c r="F414" s="102"/>
      <c r="G414" s="102"/>
      <c r="H414" s="102"/>
      <c r="I414" s="112"/>
      <c r="J414" s="112"/>
      <c r="K414" s="103" t="str">
        <f t="shared" si="1"/>
        <v/>
      </c>
      <c r="L414" s="102"/>
      <c r="M414" s="102"/>
      <c r="N414" s="112"/>
      <c r="O414" s="102"/>
    </row>
    <row r="415" ht="14.25" customHeight="1">
      <c r="A415" s="102"/>
      <c r="B415" s="102"/>
      <c r="C415" s="102"/>
      <c r="D415" s="102"/>
      <c r="E415" s="102"/>
      <c r="F415" s="102"/>
      <c r="G415" s="102"/>
      <c r="H415" s="102"/>
      <c r="I415" s="112"/>
      <c r="J415" s="112"/>
      <c r="K415" s="103" t="str">
        <f t="shared" si="1"/>
        <v/>
      </c>
      <c r="L415" s="102"/>
      <c r="M415" s="102"/>
      <c r="N415" s="112"/>
      <c r="O415" s="102"/>
    </row>
    <row r="416" ht="14.25" customHeight="1">
      <c r="A416" s="102"/>
      <c r="B416" s="102"/>
      <c r="C416" s="102"/>
      <c r="D416" s="102"/>
      <c r="E416" s="102"/>
      <c r="F416" s="102"/>
      <c r="G416" s="102"/>
      <c r="H416" s="102"/>
      <c r="I416" s="112"/>
      <c r="J416" s="112"/>
      <c r="K416" s="103" t="str">
        <f t="shared" si="1"/>
        <v/>
      </c>
      <c r="L416" s="102"/>
      <c r="M416" s="102"/>
      <c r="N416" s="112"/>
      <c r="O416" s="102"/>
    </row>
    <row r="417" ht="14.25" customHeight="1">
      <c r="A417" s="102"/>
      <c r="B417" s="102"/>
      <c r="C417" s="102"/>
      <c r="D417" s="102"/>
      <c r="E417" s="102"/>
      <c r="F417" s="102"/>
      <c r="G417" s="102"/>
      <c r="H417" s="102"/>
      <c r="I417" s="112"/>
      <c r="J417" s="112"/>
      <c r="K417" s="103" t="str">
        <f t="shared" si="1"/>
        <v/>
      </c>
      <c r="L417" s="102"/>
      <c r="M417" s="102"/>
      <c r="N417" s="112"/>
      <c r="O417" s="102"/>
    </row>
    <row r="418" ht="14.25" customHeight="1">
      <c r="A418" s="102"/>
      <c r="B418" s="102"/>
      <c r="C418" s="102"/>
      <c r="D418" s="102"/>
      <c r="E418" s="102"/>
      <c r="F418" s="102"/>
      <c r="G418" s="102"/>
      <c r="H418" s="102"/>
      <c r="I418" s="112"/>
      <c r="J418" s="112"/>
      <c r="K418" s="103" t="str">
        <f t="shared" si="1"/>
        <v/>
      </c>
      <c r="L418" s="102"/>
      <c r="M418" s="102"/>
      <c r="N418" s="112"/>
      <c r="O418" s="102"/>
    </row>
    <row r="419" ht="14.25" customHeight="1">
      <c r="A419" s="102"/>
      <c r="B419" s="102"/>
      <c r="C419" s="102"/>
      <c r="D419" s="102"/>
      <c r="E419" s="102"/>
      <c r="F419" s="102"/>
      <c r="G419" s="102"/>
      <c r="H419" s="102"/>
      <c r="I419" s="112"/>
      <c r="J419" s="112"/>
      <c r="K419" s="103" t="str">
        <f t="shared" si="1"/>
        <v/>
      </c>
      <c r="L419" s="102"/>
      <c r="M419" s="102"/>
      <c r="N419" s="112"/>
      <c r="O419" s="102"/>
    </row>
    <row r="420" ht="14.25" customHeight="1">
      <c r="A420" s="102"/>
      <c r="B420" s="102"/>
      <c r="C420" s="102"/>
      <c r="D420" s="102"/>
      <c r="E420" s="102"/>
      <c r="F420" s="102"/>
      <c r="G420" s="102"/>
      <c r="H420" s="102"/>
      <c r="I420" s="112"/>
      <c r="J420" s="112"/>
      <c r="K420" s="103" t="str">
        <f t="shared" si="1"/>
        <v/>
      </c>
      <c r="L420" s="102"/>
      <c r="M420" s="102"/>
      <c r="N420" s="112"/>
      <c r="O420" s="102"/>
    </row>
    <row r="421" ht="14.25" customHeight="1">
      <c r="A421" s="102"/>
      <c r="B421" s="102"/>
      <c r="C421" s="102"/>
      <c r="D421" s="102"/>
      <c r="E421" s="102"/>
      <c r="F421" s="102"/>
      <c r="G421" s="102"/>
      <c r="H421" s="102"/>
      <c r="I421" s="112"/>
      <c r="J421" s="112"/>
      <c r="K421" s="103" t="str">
        <f t="shared" si="1"/>
        <v/>
      </c>
      <c r="L421" s="102"/>
      <c r="M421" s="102"/>
      <c r="N421" s="112"/>
      <c r="O421" s="102"/>
    </row>
    <row r="422" ht="14.25" customHeight="1">
      <c r="A422" s="102"/>
      <c r="B422" s="102"/>
      <c r="C422" s="102"/>
      <c r="D422" s="102"/>
      <c r="E422" s="102"/>
      <c r="F422" s="102"/>
      <c r="G422" s="102"/>
      <c r="H422" s="102"/>
      <c r="I422" s="112"/>
      <c r="J422" s="112"/>
      <c r="K422" s="103" t="str">
        <f t="shared" si="1"/>
        <v/>
      </c>
      <c r="L422" s="102"/>
      <c r="M422" s="102"/>
      <c r="N422" s="112"/>
      <c r="O422" s="102"/>
    </row>
    <row r="423" ht="14.25" customHeight="1">
      <c r="A423" s="102"/>
      <c r="B423" s="102"/>
      <c r="C423" s="102"/>
      <c r="D423" s="102"/>
      <c r="E423" s="102"/>
      <c r="F423" s="102"/>
      <c r="G423" s="102"/>
      <c r="H423" s="102"/>
      <c r="I423" s="112"/>
      <c r="J423" s="112"/>
      <c r="K423" s="103" t="str">
        <f t="shared" si="1"/>
        <v/>
      </c>
      <c r="L423" s="102"/>
      <c r="M423" s="102"/>
      <c r="N423" s="112"/>
      <c r="O423" s="102"/>
    </row>
    <row r="424" ht="14.25" customHeight="1">
      <c r="A424" s="102"/>
      <c r="B424" s="102"/>
      <c r="C424" s="102"/>
      <c r="D424" s="102"/>
      <c r="E424" s="102"/>
      <c r="F424" s="102"/>
      <c r="G424" s="102"/>
      <c r="H424" s="102"/>
      <c r="I424" s="112"/>
      <c r="J424" s="112"/>
      <c r="K424" s="103" t="str">
        <f t="shared" si="1"/>
        <v/>
      </c>
      <c r="L424" s="102"/>
      <c r="M424" s="102"/>
      <c r="N424" s="112"/>
      <c r="O424" s="102"/>
    </row>
    <row r="425" ht="14.25" customHeight="1">
      <c r="A425" s="102"/>
      <c r="B425" s="102"/>
      <c r="C425" s="102"/>
      <c r="D425" s="102"/>
      <c r="E425" s="102"/>
      <c r="F425" s="102"/>
      <c r="G425" s="102"/>
      <c r="H425" s="102"/>
      <c r="I425" s="112"/>
      <c r="J425" s="112"/>
      <c r="K425" s="103" t="str">
        <f t="shared" si="1"/>
        <v/>
      </c>
      <c r="L425" s="102"/>
      <c r="M425" s="102"/>
      <c r="N425" s="112"/>
      <c r="O425" s="102"/>
    </row>
    <row r="426" ht="14.25" customHeight="1">
      <c r="A426" s="102"/>
      <c r="B426" s="102"/>
      <c r="C426" s="102"/>
      <c r="D426" s="102"/>
      <c r="E426" s="102"/>
      <c r="F426" s="102"/>
      <c r="G426" s="102"/>
      <c r="H426" s="102"/>
      <c r="I426" s="112"/>
      <c r="J426" s="112"/>
      <c r="K426" s="103" t="str">
        <f t="shared" si="1"/>
        <v/>
      </c>
      <c r="L426" s="102"/>
      <c r="M426" s="102"/>
      <c r="N426" s="112"/>
      <c r="O426" s="102"/>
    </row>
    <row r="427" ht="14.25" customHeight="1">
      <c r="A427" s="102"/>
      <c r="B427" s="102"/>
      <c r="C427" s="102"/>
      <c r="D427" s="102"/>
      <c r="E427" s="102"/>
      <c r="F427" s="102"/>
      <c r="G427" s="102"/>
      <c r="H427" s="102"/>
      <c r="I427" s="112"/>
      <c r="J427" s="112"/>
      <c r="K427" s="103" t="str">
        <f t="shared" si="1"/>
        <v/>
      </c>
      <c r="L427" s="102"/>
      <c r="M427" s="102"/>
      <c r="N427" s="112"/>
      <c r="O427" s="102"/>
    </row>
    <row r="428" ht="14.25" customHeight="1">
      <c r="A428" s="102"/>
      <c r="B428" s="102"/>
      <c r="C428" s="102"/>
      <c r="D428" s="102"/>
      <c r="E428" s="102"/>
      <c r="F428" s="102"/>
      <c r="G428" s="102"/>
      <c r="H428" s="102"/>
      <c r="I428" s="112"/>
      <c r="J428" s="112"/>
      <c r="K428" s="103" t="str">
        <f t="shared" si="1"/>
        <v/>
      </c>
      <c r="L428" s="102"/>
      <c r="M428" s="102"/>
      <c r="N428" s="112"/>
      <c r="O428" s="102"/>
    </row>
    <row r="429" ht="14.25" customHeight="1">
      <c r="A429" s="102"/>
      <c r="B429" s="102"/>
      <c r="C429" s="102"/>
      <c r="D429" s="102"/>
      <c r="E429" s="102"/>
      <c r="F429" s="102"/>
      <c r="G429" s="102"/>
      <c r="H429" s="102"/>
      <c r="I429" s="112"/>
      <c r="J429" s="112"/>
      <c r="K429" s="103" t="str">
        <f t="shared" si="1"/>
        <v/>
      </c>
      <c r="L429" s="102"/>
      <c r="M429" s="102"/>
      <c r="N429" s="112"/>
      <c r="O429" s="102"/>
    </row>
    <row r="430" ht="14.25" customHeight="1">
      <c r="A430" s="102"/>
      <c r="B430" s="102"/>
      <c r="C430" s="102"/>
      <c r="D430" s="102"/>
      <c r="E430" s="102"/>
      <c r="F430" s="102"/>
      <c r="G430" s="102"/>
      <c r="H430" s="102"/>
      <c r="I430" s="112"/>
      <c r="J430" s="112"/>
      <c r="K430" s="103" t="str">
        <f t="shared" si="1"/>
        <v/>
      </c>
      <c r="L430" s="102"/>
      <c r="M430" s="102"/>
      <c r="N430" s="112"/>
      <c r="O430" s="102"/>
    </row>
    <row r="431" ht="14.25" customHeight="1">
      <c r="A431" s="102"/>
      <c r="B431" s="102"/>
      <c r="C431" s="102"/>
      <c r="D431" s="102"/>
      <c r="E431" s="102"/>
      <c r="F431" s="102"/>
      <c r="G431" s="102"/>
      <c r="H431" s="102"/>
      <c r="I431" s="112"/>
      <c r="J431" s="112"/>
      <c r="K431" s="103" t="str">
        <f t="shared" si="1"/>
        <v/>
      </c>
      <c r="L431" s="102"/>
      <c r="M431" s="102"/>
      <c r="N431" s="112"/>
      <c r="O431" s="102"/>
    </row>
    <row r="432" ht="14.25" customHeight="1">
      <c r="A432" s="102"/>
      <c r="B432" s="102"/>
      <c r="C432" s="102"/>
      <c r="D432" s="102"/>
      <c r="E432" s="102"/>
      <c r="F432" s="102"/>
      <c r="G432" s="102"/>
      <c r="H432" s="102"/>
      <c r="I432" s="112"/>
      <c r="J432" s="112"/>
      <c r="K432" s="103" t="str">
        <f t="shared" si="1"/>
        <v/>
      </c>
      <c r="L432" s="102"/>
      <c r="M432" s="102"/>
      <c r="N432" s="112"/>
      <c r="O432" s="102"/>
    </row>
    <row r="433" ht="14.25" customHeight="1">
      <c r="A433" s="102"/>
      <c r="B433" s="102"/>
      <c r="C433" s="102"/>
      <c r="D433" s="102"/>
      <c r="E433" s="102"/>
      <c r="F433" s="102"/>
      <c r="G433" s="102"/>
      <c r="H433" s="102"/>
      <c r="I433" s="112"/>
      <c r="J433" s="112"/>
      <c r="K433" s="103" t="str">
        <f t="shared" si="1"/>
        <v/>
      </c>
      <c r="L433" s="102"/>
      <c r="M433" s="102"/>
      <c r="N433" s="112"/>
      <c r="O433" s="102"/>
    </row>
    <row r="434" ht="14.25" customHeight="1">
      <c r="A434" s="102"/>
      <c r="B434" s="102"/>
      <c r="C434" s="102"/>
      <c r="D434" s="102"/>
      <c r="E434" s="102"/>
      <c r="F434" s="102"/>
      <c r="G434" s="102"/>
      <c r="H434" s="102"/>
      <c r="I434" s="112"/>
      <c r="J434" s="112"/>
      <c r="K434" s="103" t="str">
        <f t="shared" si="1"/>
        <v/>
      </c>
      <c r="L434" s="102"/>
      <c r="M434" s="102"/>
      <c r="N434" s="112"/>
      <c r="O434" s="102"/>
    </row>
    <row r="435" ht="14.25" customHeight="1">
      <c r="A435" s="102"/>
      <c r="B435" s="102"/>
      <c r="C435" s="102"/>
      <c r="D435" s="102"/>
      <c r="E435" s="102"/>
      <c r="F435" s="102"/>
      <c r="G435" s="102"/>
      <c r="H435" s="102"/>
      <c r="I435" s="112"/>
      <c r="J435" s="112"/>
      <c r="K435" s="103" t="str">
        <f t="shared" si="1"/>
        <v/>
      </c>
      <c r="L435" s="102"/>
      <c r="M435" s="102"/>
      <c r="N435" s="112"/>
      <c r="O435" s="102"/>
    </row>
    <row r="436" ht="14.25" customHeight="1">
      <c r="A436" s="102"/>
      <c r="B436" s="102"/>
      <c r="C436" s="102"/>
      <c r="D436" s="102"/>
      <c r="E436" s="102"/>
      <c r="F436" s="102"/>
      <c r="G436" s="102"/>
      <c r="H436" s="102"/>
      <c r="I436" s="112"/>
      <c r="J436" s="112"/>
      <c r="K436" s="103" t="str">
        <f t="shared" si="1"/>
        <v/>
      </c>
      <c r="L436" s="102"/>
      <c r="M436" s="102"/>
      <c r="N436" s="112"/>
      <c r="O436" s="102"/>
    </row>
    <row r="437" ht="14.25" customHeight="1">
      <c r="A437" s="102"/>
      <c r="B437" s="102"/>
      <c r="C437" s="102"/>
      <c r="D437" s="102"/>
      <c r="E437" s="102"/>
      <c r="F437" s="102"/>
      <c r="G437" s="102"/>
      <c r="H437" s="102"/>
      <c r="I437" s="112"/>
      <c r="J437" s="112"/>
      <c r="K437" s="103" t="str">
        <f t="shared" si="1"/>
        <v/>
      </c>
      <c r="L437" s="102"/>
      <c r="M437" s="102"/>
      <c r="N437" s="112"/>
      <c r="O437" s="102"/>
    </row>
    <row r="438" ht="14.25" customHeight="1">
      <c r="A438" s="102"/>
      <c r="B438" s="102"/>
      <c r="C438" s="102"/>
      <c r="D438" s="102"/>
      <c r="E438" s="102"/>
      <c r="F438" s="102"/>
      <c r="G438" s="102"/>
      <c r="H438" s="102"/>
      <c r="I438" s="112"/>
      <c r="J438" s="112"/>
      <c r="K438" s="103" t="str">
        <f t="shared" si="1"/>
        <v/>
      </c>
      <c r="L438" s="102"/>
      <c r="M438" s="102"/>
      <c r="N438" s="112"/>
      <c r="O438" s="102"/>
    </row>
    <row r="439" ht="14.25" customHeight="1">
      <c r="A439" s="102"/>
      <c r="B439" s="102"/>
      <c r="C439" s="102"/>
      <c r="D439" s="102"/>
      <c r="E439" s="102"/>
      <c r="F439" s="102"/>
      <c r="G439" s="102"/>
      <c r="H439" s="102"/>
      <c r="I439" s="112"/>
      <c r="J439" s="112"/>
      <c r="K439" s="103" t="str">
        <f t="shared" si="1"/>
        <v/>
      </c>
      <c r="L439" s="102"/>
      <c r="M439" s="102"/>
      <c r="N439" s="112"/>
      <c r="O439" s="102"/>
    </row>
    <row r="440" ht="14.25" customHeight="1">
      <c r="A440" s="102"/>
      <c r="B440" s="102"/>
      <c r="C440" s="102"/>
      <c r="D440" s="102"/>
      <c r="E440" s="102"/>
      <c r="F440" s="102"/>
      <c r="G440" s="102"/>
      <c r="H440" s="102"/>
      <c r="I440" s="112"/>
      <c r="J440" s="112"/>
      <c r="K440" s="103" t="str">
        <f t="shared" si="1"/>
        <v/>
      </c>
      <c r="L440" s="102"/>
      <c r="M440" s="102"/>
      <c r="N440" s="112"/>
      <c r="O440" s="102"/>
    </row>
    <row r="441" ht="14.25" customHeight="1">
      <c r="A441" s="102"/>
      <c r="B441" s="102"/>
      <c r="C441" s="102"/>
      <c r="D441" s="102"/>
      <c r="E441" s="102"/>
      <c r="F441" s="102"/>
      <c r="G441" s="102"/>
      <c r="H441" s="102"/>
      <c r="I441" s="112"/>
      <c r="J441" s="112"/>
      <c r="K441" s="103" t="str">
        <f t="shared" si="1"/>
        <v/>
      </c>
      <c r="L441" s="102"/>
      <c r="M441" s="102"/>
      <c r="N441" s="112"/>
      <c r="O441" s="102"/>
    </row>
    <row r="442" ht="14.25" customHeight="1">
      <c r="A442" s="102"/>
      <c r="B442" s="102"/>
      <c r="C442" s="102"/>
      <c r="D442" s="102"/>
      <c r="E442" s="102"/>
      <c r="F442" s="102"/>
      <c r="G442" s="102"/>
      <c r="H442" s="102"/>
      <c r="I442" s="112"/>
      <c r="J442" s="112"/>
      <c r="K442" s="103" t="str">
        <f t="shared" si="1"/>
        <v/>
      </c>
      <c r="L442" s="102"/>
      <c r="M442" s="102"/>
      <c r="N442" s="112"/>
      <c r="O442" s="102"/>
    </row>
    <row r="443" ht="14.25" customHeight="1">
      <c r="A443" s="102"/>
      <c r="B443" s="102"/>
      <c r="C443" s="102"/>
      <c r="D443" s="102"/>
      <c r="E443" s="102"/>
      <c r="F443" s="102"/>
      <c r="G443" s="102"/>
      <c r="H443" s="102"/>
      <c r="I443" s="112"/>
      <c r="J443" s="112"/>
      <c r="K443" s="103" t="str">
        <f t="shared" si="1"/>
        <v/>
      </c>
      <c r="L443" s="102"/>
      <c r="M443" s="102"/>
      <c r="N443" s="112"/>
      <c r="O443" s="102"/>
    </row>
    <row r="444" ht="14.25" customHeight="1">
      <c r="A444" s="102"/>
      <c r="B444" s="102"/>
      <c r="C444" s="102"/>
      <c r="D444" s="102"/>
      <c r="E444" s="102"/>
      <c r="F444" s="102"/>
      <c r="G444" s="102"/>
      <c r="H444" s="102"/>
      <c r="I444" s="112"/>
      <c r="J444" s="112"/>
      <c r="K444" s="103" t="str">
        <f t="shared" si="1"/>
        <v/>
      </c>
      <c r="L444" s="102"/>
      <c r="M444" s="102"/>
      <c r="N444" s="112"/>
      <c r="O444" s="102"/>
    </row>
    <row r="445" ht="14.25" customHeight="1">
      <c r="A445" s="102"/>
      <c r="B445" s="102"/>
      <c r="C445" s="102"/>
      <c r="D445" s="102"/>
      <c r="E445" s="102"/>
      <c r="F445" s="102"/>
      <c r="G445" s="102"/>
      <c r="H445" s="102"/>
      <c r="I445" s="112"/>
      <c r="J445" s="112"/>
      <c r="K445" s="103" t="str">
        <f t="shared" si="1"/>
        <v/>
      </c>
      <c r="L445" s="102"/>
      <c r="M445" s="102"/>
      <c r="N445" s="112"/>
      <c r="O445" s="102"/>
    </row>
    <row r="446" ht="14.25" customHeight="1">
      <c r="A446" s="102"/>
      <c r="B446" s="102"/>
      <c r="C446" s="102"/>
      <c r="D446" s="102"/>
      <c r="E446" s="102"/>
      <c r="F446" s="102"/>
      <c r="G446" s="102"/>
      <c r="H446" s="102"/>
      <c r="I446" s="112"/>
      <c r="J446" s="112"/>
      <c r="K446" s="103" t="str">
        <f t="shared" si="1"/>
        <v/>
      </c>
      <c r="L446" s="102"/>
      <c r="M446" s="102"/>
      <c r="N446" s="112"/>
      <c r="O446" s="102"/>
    </row>
    <row r="447" ht="14.25" customHeight="1">
      <c r="A447" s="102"/>
      <c r="B447" s="102"/>
      <c r="C447" s="102"/>
      <c r="D447" s="102"/>
      <c r="E447" s="102"/>
      <c r="F447" s="102"/>
      <c r="G447" s="102"/>
      <c r="H447" s="102"/>
      <c r="I447" s="112"/>
      <c r="J447" s="112"/>
      <c r="K447" s="103" t="str">
        <f t="shared" si="1"/>
        <v/>
      </c>
      <c r="L447" s="102"/>
      <c r="M447" s="102"/>
      <c r="N447" s="112"/>
      <c r="O447" s="102"/>
    </row>
    <row r="448" ht="14.25" customHeight="1">
      <c r="A448" s="102"/>
      <c r="B448" s="102"/>
      <c r="C448" s="102"/>
      <c r="D448" s="102"/>
      <c r="E448" s="102"/>
      <c r="F448" s="102"/>
      <c r="G448" s="102"/>
      <c r="H448" s="102"/>
      <c r="I448" s="112"/>
      <c r="J448" s="112"/>
      <c r="K448" s="103" t="str">
        <f t="shared" si="1"/>
        <v/>
      </c>
      <c r="L448" s="102"/>
      <c r="M448" s="102"/>
      <c r="N448" s="112"/>
      <c r="O448" s="102"/>
    </row>
    <row r="449" ht="14.25" customHeight="1">
      <c r="A449" s="102"/>
      <c r="B449" s="102"/>
      <c r="C449" s="102"/>
      <c r="D449" s="102"/>
      <c r="E449" s="102"/>
      <c r="F449" s="102"/>
      <c r="G449" s="102"/>
      <c r="H449" s="102"/>
      <c r="I449" s="112"/>
      <c r="J449" s="112"/>
      <c r="K449" s="103" t="str">
        <f t="shared" si="1"/>
        <v/>
      </c>
      <c r="L449" s="102"/>
      <c r="M449" s="102"/>
      <c r="N449" s="112"/>
      <c r="O449" s="102"/>
    </row>
    <row r="450" ht="14.25" customHeight="1">
      <c r="A450" s="102"/>
      <c r="B450" s="102"/>
      <c r="C450" s="102"/>
      <c r="D450" s="102"/>
      <c r="E450" s="102"/>
      <c r="F450" s="102"/>
      <c r="G450" s="102"/>
      <c r="H450" s="102"/>
      <c r="I450" s="112"/>
      <c r="J450" s="112"/>
      <c r="K450" s="103" t="str">
        <f t="shared" si="1"/>
        <v/>
      </c>
      <c r="L450" s="102"/>
      <c r="M450" s="102"/>
      <c r="N450" s="112"/>
      <c r="O450" s="102"/>
    </row>
    <row r="451" ht="14.25" customHeight="1">
      <c r="A451" s="102"/>
      <c r="B451" s="102"/>
      <c r="C451" s="102"/>
      <c r="D451" s="102"/>
      <c r="E451" s="102"/>
      <c r="F451" s="102"/>
      <c r="G451" s="102"/>
      <c r="H451" s="102"/>
      <c r="I451" s="112"/>
      <c r="J451" s="112"/>
      <c r="K451" s="103" t="str">
        <f t="shared" si="1"/>
        <v/>
      </c>
      <c r="L451" s="102"/>
      <c r="M451" s="102"/>
      <c r="N451" s="112"/>
      <c r="O451" s="102"/>
    </row>
    <row r="452" ht="14.25" customHeight="1">
      <c r="A452" s="102"/>
      <c r="B452" s="102"/>
      <c r="C452" s="102"/>
      <c r="D452" s="102"/>
      <c r="E452" s="102"/>
      <c r="F452" s="102"/>
      <c r="G452" s="102"/>
      <c r="H452" s="102"/>
      <c r="I452" s="112"/>
      <c r="J452" s="112"/>
      <c r="K452" s="103" t="str">
        <f t="shared" si="1"/>
        <v/>
      </c>
      <c r="L452" s="102"/>
      <c r="M452" s="102"/>
      <c r="N452" s="112"/>
      <c r="O452" s="102"/>
    </row>
    <row r="453" ht="14.25" customHeight="1">
      <c r="A453" s="102"/>
      <c r="B453" s="102"/>
      <c r="C453" s="102"/>
      <c r="D453" s="102"/>
      <c r="E453" s="102"/>
      <c r="F453" s="102"/>
      <c r="G453" s="102"/>
      <c r="H453" s="102"/>
      <c r="I453" s="112"/>
      <c r="J453" s="112"/>
      <c r="K453" s="103" t="str">
        <f t="shared" si="1"/>
        <v/>
      </c>
      <c r="L453" s="102"/>
      <c r="M453" s="102"/>
      <c r="N453" s="112"/>
      <c r="O453" s="102"/>
    </row>
    <row r="454" ht="14.25" customHeight="1">
      <c r="A454" s="102"/>
      <c r="B454" s="102"/>
      <c r="C454" s="102"/>
      <c r="D454" s="102"/>
      <c r="E454" s="102"/>
      <c r="F454" s="102"/>
      <c r="G454" s="102"/>
      <c r="H454" s="102"/>
      <c r="I454" s="112"/>
      <c r="J454" s="112"/>
      <c r="K454" s="103" t="str">
        <f t="shared" si="1"/>
        <v/>
      </c>
      <c r="L454" s="102"/>
      <c r="M454" s="102"/>
      <c r="N454" s="112"/>
      <c r="O454" s="102"/>
    </row>
    <row r="455" ht="14.25" customHeight="1">
      <c r="A455" s="102"/>
      <c r="B455" s="102"/>
      <c r="C455" s="102"/>
      <c r="D455" s="102"/>
      <c r="E455" s="102"/>
      <c r="F455" s="102"/>
      <c r="G455" s="102"/>
      <c r="H455" s="102"/>
      <c r="I455" s="112"/>
      <c r="J455" s="112"/>
      <c r="K455" s="103" t="str">
        <f t="shared" si="1"/>
        <v/>
      </c>
      <c r="L455" s="102"/>
      <c r="M455" s="102"/>
      <c r="N455" s="112"/>
      <c r="O455" s="102"/>
    </row>
    <row r="456" ht="14.25" customHeight="1">
      <c r="A456" s="102"/>
      <c r="B456" s="102"/>
      <c r="C456" s="102"/>
      <c r="D456" s="102"/>
      <c r="E456" s="102"/>
      <c r="F456" s="102"/>
      <c r="G456" s="102"/>
      <c r="H456" s="102"/>
      <c r="I456" s="112"/>
      <c r="J456" s="112"/>
      <c r="K456" s="103" t="str">
        <f t="shared" si="1"/>
        <v/>
      </c>
      <c r="L456" s="102"/>
      <c r="M456" s="102"/>
      <c r="N456" s="112"/>
      <c r="O456" s="102"/>
    </row>
    <row r="457" ht="14.25" customHeight="1">
      <c r="A457" s="102"/>
      <c r="B457" s="102"/>
      <c r="C457" s="102"/>
      <c r="D457" s="102"/>
      <c r="E457" s="102"/>
      <c r="F457" s="102"/>
      <c r="G457" s="102"/>
      <c r="H457" s="102"/>
      <c r="I457" s="112"/>
      <c r="J457" s="112"/>
      <c r="K457" s="103" t="str">
        <f t="shared" si="1"/>
        <v/>
      </c>
      <c r="L457" s="102"/>
      <c r="M457" s="102"/>
      <c r="N457" s="112"/>
      <c r="O457" s="102"/>
    </row>
    <row r="458" ht="14.25" customHeight="1">
      <c r="A458" s="102"/>
      <c r="B458" s="102"/>
      <c r="C458" s="102"/>
      <c r="D458" s="102"/>
      <c r="E458" s="102"/>
      <c r="F458" s="102"/>
      <c r="G458" s="102"/>
      <c r="H458" s="102"/>
      <c r="I458" s="112"/>
      <c r="J458" s="112"/>
      <c r="K458" s="103" t="str">
        <f t="shared" si="1"/>
        <v/>
      </c>
      <c r="L458" s="102"/>
      <c r="M458" s="102"/>
      <c r="N458" s="112"/>
      <c r="O458" s="102"/>
    </row>
    <row r="459" ht="14.25" customHeight="1">
      <c r="A459" s="102"/>
      <c r="B459" s="102"/>
      <c r="C459" s="102"/>
      <c r="D459" s="102"/>
      <c r="E459" s="102"/>
      <c r="F459" s="102"/>
      <c r="G459" s="102"/>
      <c r="H459" s="102"/>
      <c r="I459" s="112"/>
      <c r="J459" s="112"/>
      <c r="K459" s="103" t="str">
        <f t="shared" si="1"/>
        <v/>
      </c>
      <c r="L459" s="102"/>
      <c r="M459" s="102"/>
      <c r="N459" s="112"/>
      <c r="O459" s="102"/>
    </row>
    <row r="460" ht="14.25" customHeight="1">
      <c r="A460" s="102"/>
      <c r="B460" s="102"/>
      <c r="C460" s="102"/>
      <c r="D460" s="102"/>
      <c r="E460" s="102"/>
      <c r="F460" s="102"/>
      <c r="G460" s="102"/>
      <c r="H460" s="102"/>
      <c r="I460" s="112"/>
      <c r="J460" s="112"/>
      <c r="K460" s="103" t="str">
        <f t="shared" si="1"/>
        <v/>
      </c>
      <c r="L460" s="102"/>
      <c r="M460" s="102"/>
      <c r="N460" s="112"/>
      <c r="O460" s="102"/>
    </row>
    <row r="461" ht="14.25" customHeight="1">
      <c r="A461" s="102"/>
      <c r="B461" s="102"/>
      <c r="C461" s="102"/>
      <c r="D461" s="102"/>
      <c r="E461" s="102"/>
      <c r="F461" s="102"/>
      <c r="G461" s="102"/>
      <c r="H461" s="102"/>
      <c r="I461" s="112"/>
      <c r="J461" s="112"/>
      <c r="K461" s="103" t="str">
        <f t="shared" si="1"/>
        <v/>
      </c>
      <c r="L461" s="102"/>
      <c r="M461" s="102"/>
      <c r="N461" s="112"/>
      <c r="O461" s="102"/>
    </row>
    <row r="462" ht="14.25" customHeight="1">
      <c r="A462" s="102"/>
      <c r="B462" s="102"/>
      <c r="C462" s="102"/>
      <c r="D462" s="102"/>
      <c r="E462" s="102"/>
      <c r="F462" s="102"/>
      <c r="G462" s="102"/>
      <c r="H462" s="102"/>
      <c r="I462" s="112"/>
      <c r="J462" s="112"/>
      <c r="K462" s="103" t="str">
        <f t="shared" si="1"/>
        <v/>
      </c>
      <c r="L462" s="102"/>
      <c r="M462" s="102"/>
      <c r="N462" s="112"/>
      <c r="O462" s="102"/>
    </row>
    <row r="463" ht="14.25" customHeight="1">
      <c r="A463" s="102"/>
      <c r="B463" s="102"/>
      <c r="C463" s="102"/>
      <c r="D463" s="102"/>
      <c r="E463" s="102"/>
      <c r="F463" s="102"/>
      <c r="G463" s="102"/>
      <c r="H463" s="102"/>
      <c r="I463" s="112"/>
      <c r="J463" s="112"/>
      <c r="K463" s="103" t="str">
        <f t="shared" si="1"/>
        <v/>
      </c>
      <c r="L463" s="102"/>
      <c r="M463" s="102"/>
      <c r="N463" s="112"/>
      <c r="O463" s="102"/>
    </row>
    <row r="464" ht="14.25" customHeight="1">
      <c r="A464" s="102"/>
      <c r="B464" s="102"/>
      <c r="C464" s="102"/>
      <c r="D464" s="102"/>
      <c r="E464" s="102"/>
      <c r="F464" s="102"/>
      <c r="G464" s="102"/>
      <c r="H464" s="102"/>
      <c r="I464" s="112"/>
      <c r="J464" s="112"/>
      <c r="K464" s="103" t="str">
        <f t="shared" si="1"/>
        <v/>
      </c>
      <c r="L464" s="102"/>
      <c r="M464" s="102"/>
      <c r="N464" s="112"/>
      <c r="O464" s="102"/>
    </row>
    <row r="465" ht="14.25" customHeight="1">
      <c r="A465" s="102"/>
      <c r="B465" s="102"/>
      <c r="C465" s="102"/>
      <c r="D465" s="102"/>
      <c r="E465" s="102"/>
      <c r="F465" s="102"/>
      <c r="G465" s="102"/>
      <c r="H465" s="102"/>
      <c r="I465" s="112"/>
      <c r="J465" s="112"/>
      <c r="K465" s="103" t="str">
        <f t="shared" si="1"/>
        <v/>
      </c>
      <c r="L465" s="102"/>
      <c r="M465" s="102"/>
      <c r="N465" s="112"/>
      <c r="O465" s="102"/>
    </row>
    <row r="466" ht="14.25" customHeight="1">
      <c r="A466" s="102"/>
      <c r="B466" s="102"/>
      <c r="C466" s="102"/>
      <c r="D466" s="102"/>
      <c r="E466" s="102"/>
      <c r="F466" s="102"/>
      <c r="G466" s="102"/>
      <c r="H466" s="102"/>
      <c r="I466" s="112"/>
      <c r="J466" s="112"/>
      <c r="K466" s="103" t="str">
        <f t="shared" si="1"/>
        <v/>
      </c>
      <c r="L466" s="102"/>
      <c r="M466" s="102"/>
      <c r="N466" s="112"/>
      <c r="O466" s="102"/>
    </row>
    <row r="467" ht="14.25" customHeight="1">
      <c r="A467" s="102"/>
      <c r="B467" s="102"/>
      <c r="C467" s="102"/>
      <c r="D467" s="102"/>
      <c r="E467" s="102"/>
      <c r="F467" s="102"/>
      <c r="G467" s="102"/>
      <c r="H467" s="102"/>
      <c r="I467" s="112"/>
      <c r="J467" s="112"/>
      <c r="K467" s="103" t="str">
        <f t="shared" si="1"/>
        <v/>
      </c>
      <c r="L467" s="102"/>
      <c r="M467" s="102"/>
      <c r="N467" s="112"/>
      <c r="O467" s="102"/>
    </row>
    <row r="468" ht="14.25" customHeight="1">
      <c r="A468" s="102"/>
      <c r="B468" s="102"/>
      <c r="C468" s="102"/>
      <c r="D468" s="102"/>
      <c r="E468" s="102"/>
      <c r="F468" s="102"/>
      <c r="G468" s="102"/>
      <c r="H468" s="102"/>
      <c r="I468" s="112"/>
      <c r="J468" s="112"/>
      <c r="K468" s="103" t="str">
        <f t="shared" si="1"/>
        <v/>
      </c>
      <c r="L468" s="102"/>
      <c r="M468" s="102"/>
      <c r="N468" s="112"/>
      <c r="O468" s="102"/>
    </row>
    <row r="469" ht="14.25" customHeight="1">
      <c r="A469" s="102"/>
      <c r="B469" s="102"/>
      <c r="C469" s="102"/>
      <c r="D469" s="102"/>
      <c r="E469" s="102"/>
      <c r="F469" s="102"/>
      <c r="G469" s="102"/>
      <c r="H469" s="102"/>
      <c r="I469" s="112"/>
      <c r="J469" s="112"/>
      <c r="K469" s="103" t="str">
        <f t="shared" si="1"/>
        <v/>
      </c>
      <c r="L469" s="102"/>
      <c r="M469" s="102"/>
      <c r="N469" s="112"/>
      <c r="O469" s="102"/>
    </row>
    <row r="470" ht="14.25" customHeight="1">
      <c r="A470" s="102"/>
      <c r="B470" s="102"/>
      <c r="C470" s="102"/>
      <c r="D470" s="102"/>
      <c r="E470" s="102"/>
      <c r="F470" s="102"/>
      <c r="G470" s="102"/>
      <c r="H470" s="102"/>
      <c r="I470" s="112"/>
      <c r="J470" s="112"/>
      <c r="K470" s="103" t="str">
        <f t="shared" si="1"/>
        <v/>
      </c>
      <c r="L470" s="102"/>
      <c r="M470" s="102"/>
      <c r="N470" s="112"/>
      <c r="O470" s="102"/>
    </row>
    <row r="471" ht="14.25" customHeight="1">
      <c r="A471" s="102"/>
      <c r="B471" s="102"/>
      <c r="C471" s="102"/>
      <c r="D471" s="102"/>
      <c r="E471" s="102"/>
      <c r="F471" s="102"/>
      <c r="G471" s="102"/>
      <c r="H471" s="102"/>
      <c r="I471" s="112"/>
      <c r="J471" s="112"/>
      <c r="K471" s="103" t="str">
        <f t="shared" si="1"/>
        <v/>
      </c>
      <c r="L471" s="102"/>
      <c r="M471" s="102"/>
      <c r="N471" s="112"/>
      <c r="O471" s="102"/>
    </row>
    <row r="472" ht="14.25" customHeight="1">
      <c r="A472" s="102"/>
      <c r="B472" s="102"/>
      <c r="C472" s="102"/>
      <c r="D472" s="102"/>
      <c r="E472" s="102"/>
      <c r="F472" s="102"/>
      <c r="G472" s="102"/>
      <c r="H472" s="102"/>
      <c r="I472" s="112"/>
      <c r="J472" s="112"/>
      <c r="K472" s="103" t="str">
        <f t="shared" si="1"/>
        <v/>
      </c>
      <c r="L472" s="102"/>
      <c r="M472" s="102"/>
      <c r="N472" s="112"/>
      <c r="O472" s="102"/>
    </row>
    <row r="473" ht="14.25" customHeight="1">
      <c r="A473" s="102"/>
      <c r="B473" s="102"/>
      <c r="C473" s="102"/>
      <c r="D473" s="102"/>
      <c r="E473" s="102"/>
      <c r="F473" s="102"/>
      <c r="G473" s="102"/>
      <c r="H473" s="102"/>
      <c r="I473" s="112"/>
      <c r="J473" s="112"/>
      <c r="K473" s="103" t="str">
        <f t="shared" si="1"/>
        <v/>
      </c>
      <c r="L473" s="102"/>
      <c r="M473" s="102"/>
      <c r="N473" s="112"/>
      <c r="O473" s="102"/>
    </row>
    <row r="474" ht="14.25" customHeight="1">
      <c r="A474" s="102"/>
      <c r="B474" s="102"/>
      <c r="C474" s="102"/>
      <c r="D474" s="102"/>
      <c r="E474" s="102"/>
      <c r="F474" s="102"/>
      <c r="G474" s="102"/>
      <c r="H474" s="102"/>
      <c r="I474" s="112"/>
      <c r="J474" s="112"/>
      <c r="K474" s="103" t="str">
        <f t="shared" si="1"/>
        <v/>
      </c>
      <c r="L474" s="102"/>
      <c r="M474" s="102"/>
      <c r="N474" s="112"/>
      <c r="O474" s="102"/>
    </row>
    <row r="475" ht="14.25" customHeight="1">
      <c r="A475" s="102"/>
      <c r="B475" s="102"/>
      <c r="C475" s="102"/>
      <c r="D475" s="102"/>
      <c r="E475" s="102"/>
      <c r="F475" s="102"/>
      <c r="G475" s="102"/>
      <c r="H475" s="102"/>
      <c r="I475" s="112"/>
      <c r="J475" s="112"/>
      <c r="K475" s="103" t="str">
        <f t="shared" si="1"/>
        <v/>
      </c>
      <c r="L475" s="102"/>
      <c r="M475" s="102"/>
      <c r="N475" s="112"/>
      <c r="O475" s="102"/>
    </row>
    <row r="476" ht="14.25" customHeight="1">
      <c r="A476" s="102"/>
      <c r="B476" s="102"/>
      <c r="C476" s="102"/>
      <c r="D476" s="102"/>
      <c r="E476" s="102"/>
      <c r="F476" s="102"/>
      <c r="G476" s="102"/>
      <c r="H476" s="102"/>
      <c r="I476" s="112"/>
      <c r="J476" s="112"/>
      <c r="K476" s="103" t="str">
        <f t="shared" si="1"/>
        <v/>
      </c>
      <c r="L476" s="102"/>
      <c r="M476" s="102"/>
      <c r="N476" s="112"/>
      <c r="O476" s="102"/>
    </row>
    <row r="477" ht="14.25" customHeight="1">
      <c r="A477" s="102"/>
      <c r="B477" s="102"/>
      <c r="C477" s="102"/>
      <c r="D477" s="102"/>
      <c r="E477" s="102"/>
      <c r="F477" s="102"/>
      <c r="G477" s="102"/>
      <c r="H477" s="102"/>
      <c r="I477" s="112"/>
      <c r="J477" s="112"/>
      <c r="K477" s="103" t="str">
        <f t="shared" si="1"/>
        <v/>
      </c>
      <c r="L477" s="102"/>
      <c r="M477" s="102"/>
      <c r="N477" s="112"/>
      <c r="O477" s="102"/>
    </row>
    <row r="478" ht="14.25" customHeight="1">
      <c r="A478" s="102"/>
      <c r="B478" s="102"/>
      <c r="C478" s="102"/>
      <c r="D478" s="102"/>
      <c r="E478" s="102"/>
      <c r="F478" s="102"/>
      <c r="G478" s="102"/>
      <c r="H478" s="102"/>
      <c r="I478" s="112"/>
      <c r="J478" s="112"/>
      <c r="K478" s="103" t="str">
        <f t="shared" si="1"/>
        <v/>
      </c>
      <c r="L478" s="102"/>
      <c r="M478" s="102"/>
      <c r="N478" s="112"/>
      <c r="O478" s="102"/>
    </row>
    <row r="479" ht="14.25" customHeight="1">
      <c r="A479" s="102"/>
      <c r="B479" s="102"/>
      <c r="C479" s="102"/>
      <c r="D479" s="102"/>
      <c r="E479" s="102"/>
      <c r="F479" s="102"/>
      <c r="G479" s="102"/>
      <c r="H479" s="102"/>
      <c r="I479" s="112"/>
      <c r="J479" s="112"/>
      <c r="K479" s="103" t="str">
        <f t="shared" si="1"/>
        <v/>
      </c>
      <c r="L479" s="102"/>
      <c r="M479" s="102"/>
      <c r="N479" s="112"/>
      <c r="O479" s="102"/>
    </row>
    <row r="480" ht="14.25" customHeight="1">
      <c r="A480" s="102"/>
      <c r="B480" s="102"/>
      <c r="C480" s="102"/>
      <c r="D480" s="102"/>
      <c r="E480" s="102"/>
      <c r="F480" s="102"/>
      <c r="G480" s="102"/>
      <c r="H480" s="102"/>
      <c r="I480" s="112"/>
      <c r="J480" s="112"/>
      <c r="K480" s="103" t="str">
        <f t="shared" si="1"/>
        <v/>
      </c>
      <c r="L480" s="102"/>
      <c r="M480" s="102"/>
      <c r="N480" s="112"/>
      <c r="O480" s="102"/>
    </row>
    <row r="481" ht="14.25" customHeight="1">
      <c r="A481" s="102"/>
      <c r="B481" s="102"/>
      <c r="C481" s="102"/>
      <c r="D481" s="102"/>
      <c r="E481" s="102"/>
      <c r="F481" s="102"/>
      <c r="G481" s="102"/>
      <c r="H481" s="102"/>
      <c r="I481" s="112"/>
      <c r="J481" s="112"/>
      <c r="K481" s="103" t="str">
        <f t="shared" si="1"/>
        <v/>
      </c>
      <c r="L481" s="102"/>
      <c r="M481" s="102"/>
      <c r="N481" s="112"/>
      <c r="O481" s="102"/>
    </row>
    <row r="482" ht="14.25" customHeight="1">
      <c r="A482" s="102"/>
      <c r="B482" s="102"/>
      <c r="C482" s="102"/>
      <c r="D482" s="102"/>
      <c r="E482" s="102"/>
      <c r="F482" s="102"/>
      <c r="G482" s="102"/>
      <c r="H482" s="102"/>
      <c r="I482" s="112"/>
      <c r="J482" s="112"/>
      <c r="K482" s="103" t="str">
        <f t="shared" si="1"/>
        <v/>
      </c>
      <c r="L482" s="102"/>
      <c r="M482" s="102"/>
      <c r="N482" s="112"/>
      <c r="O482" s="102"/>
    </row>
    <row r="483" ht="14.25" customHeight="1">
      <c r="A483" s="102"/>
      <c r="B483" s="102"/>
      <c r="C483" s="102"/>
      <c r="D483" s="102"/>
      <c r="E483" s="102"/>
      <c r="F483" s="102"/>
      <c r="G483" s="102"/>
      <c r="H483" s="102"/>
      <c r="I483" s="112"/>
      <c r="J483" s="112"/>
      <c r="K483" s="103" t="str">
        <f t="shared" si="1"/>
        <v/>
      </c>
      <c r="L483" s="102"/>
      <c r="M483" s="102"/>
      <c r="N483" s="112"/>
      <c r="O483" s="102"/>
    </row>
    <row r="484" ht="14.25" customHeight="1">
      <c r="A484" s="102"/>
      <c r="B484" s="102"/>
      <c r="C484" s="102"/>
      <c r="D484" s="102"/>
      <c r="E484" s="102"/>
      <c r="F484" s="102"/>
      <c r="G484" s="102"/>
      <c r="H484" s="102"/>
      <c r="I484" s="112"/>
      <c r="J484" s="112"/>
      <c r="K484" s="103" t="str">
        <f t="shared" si="1"/>
        <v/>
      </c>
      <c r="L484" s="102"/>
      <c r="M484" s="102"/>
      <c r="N484" s="112"/>
      <c r="O484" s="102"/>
    </row>
    <row r="485" ht="14.25" customHeight="1">
      <c r="A485" s="102"/>
      <c r="B485" s="102"/>
      <c r="C485" s="102"/>
      <c r="D485" s="102"/>
      <c r="E485" s="102"/>
      <c r="F485" s="102"/>
      <c r="G485" s="102"/>
      <c r="H485" s="102"/>
      <c r="I485" s="112"/>
      <c r="J485" s="112"/>
      <c r="K485" s="103" t="str">
        <f t="shared" si="1"/>
        <v/>
      </c>
      <c r="L485" s="102"/>
      <c r="M485" s="102"/>
      <c r="N485" s="112"/>
      <c r="O485" s="102"/>
    </row>
    <row r="486" ht="14.25" customHeight="1">
      <c r="A486" s="102"/>
      <c r="B486" s="102"/>
      <c r="C486" s="102"/>
      <c r="D486" s="102"/>
      <c r="E486" s="102"/>
      <c r="F486" s="102"/>
      <c r="G486" s="102"/>
      <c r="H486" s="102"/>
      <c r="I486" s="112"/>
      <c r="J486" s="112"/>
      <c r="K486" s="103" t="str">
        <f t="shared" si="1"/>
        <v/>
      </c>
      <c r="L486" s="102"/>
      <c r="M486" s="102"/>
      <c r="N486" s="112"/>
      <c r="O486" s="102"/>
    </row>
    <row r="487" ht="14.25" customHeight="1">
      <c r="A487" s="102"/>
      <c r="B487" s="102"/>
      <c r="C487" s="102"/>
      <c r="D487" s="102"/>
      <c r="E487" s="102"/>
      <c r="F487" s="102"/>
      <c r="G487" s="102"/>
      <c r="H487" s="102"/>
      <c r="I487" s="112"/>
      <c r="J487" s="112"/>
      <c r="K487" s="103" t="str">
        <f t="shared" si="1"/>
        <v/>
      </c>
      <c r="L487" s="102"/>
      <c r="M487" s="102"/>
      <c r="N487" s="112"/>
      <c r="O487" s="102"/>
    </row>
    <row r="488" ht="14.25" customHeight="1">
      <c r="A488" s="102"/>
      <c r="B488" s="102"/>
      <c r="C488" s="102"/>
      <c r="D488" s="102"/>
      <c r="E488" s="102"/>
      <c r="F488" s="102"/>
      <c r="G488" s="102"/>
      <c r="H488" s="102"/>
      <c r="I488" s="112"/>
      <c r="J488" s="112"/>
      <c r="K488" s="103" t="str">
        <f t="shared" si="1"/>
        <v/>
      </c>
      <c r="L488" s="102"/>
      <c r="M488" s="102"/>
      <c r="N488" s="112"/>
      <c r="O488" s="102"/>
    </row>
    <row r="489" ht="14.25" customHeight="1">
      <c r="A489" s="102"/>
      <c r="B489" s="102"/>
      <c r="C489" s="102"/>
      <c r="D489" s="102"/>
      <c r="E489" s="102"/>
      <c r="F489" s="102"/>
      <c r="G489" s="102"/>
      <c r="H489" s="102"/>
      <c r="I489" s="112"/>
      <c r="J489" s="112"/>
      <c r="K489" s="103" t="str">
        <f t="shared" si="1"/>
        <v/>
      </c>
      <c r="L489" s="102"/>
      <c r="M489" s="102"/>
      <c r="N489" s="112"/>
      <c r="O489" s="102"/>
    </row>
    <row r="490" ht="14.25" customHeight="1">
      <c r="A490" s="102"/>
      <c r="B490" s="102"/>
      <c r="C490" s="102"/>
      <c r="D490" s="102"/>
      <c r="E490" s="102"/>
      <c r="F490" s="102"/>
      <c r="G490" s="102"/>
      <c r="H490" s="102"/>
      <c r="I490" s="112"/>
      <c r="J490" s="112"/>
      <c r="K490" s="103" t="str">
        <f t="shared" si="1"/>
        <v/>
      </c>
      <c r="L490" s="102"/>
      <c r="M490" s="102"/>
      <c r="N490" s="112"/>
      <c r="O490" s="102"/>
    </row>
    <row r="491" ht="14.25" customHeight="1">
      <c r="A491" s="102"/>
      <c r="B491" s="102"/>
      <c r="C491" s="102"/>
      <c r="D491" s="102"/>
      <c r="E491" s="102"/>
      <c r="F491" s="102"/>
      <c r="G491" s="102"/>
      <c r="H491" s="102"/>
      <c r="I491" s="112"/>
      <c r="J491" s="112"/>
      <c r="K491" s="103" t="str">
        <f t="shared" si="1"/>
        <v/>
      </c>
      <c r="L491" s="102"/>
      <c r="M491" s="102"/>
      <c r="N491" s="112"/>
      <c r="O491" s="102"/>
    </row>
    <row r="492" ht="14.25" customHeight="1">
      <c r="A492" s="102"/>
      <c r="B492" s="102"/>
      <c r="C492" s="102"/>
      <c r="D492" s="102"/>
      <c r="E492" s="102"/>
      <c r="F492" s="102"/>
      <c r="G492" s="102"/>
      <c r="H492" s="102"/>
      <c r="I492" s="112"/>
      <c r="J492" s="112"/>
      <c r="K492" s="103" t="str">
        <f t="shared" si="1"/>
        <v/>
      </c>
      <c r="L492" s="102"/>
      <c r="M492" s="102"/>
      <c r="N492" s="112"/>
      <c r="O492" s="102"/>
    </row>
    <row r="493" ht="14.25" customHeight="1">
      <c r="A493" s="102"/>
      <c r="B493" s="102"/>
      <c r="C493" s="102"/>
      <c r="D493" s="102"/>
      <c r="E493" s="102"/>
      <c r="F493" s="102"/>
      <c r="G493" s="102"/>
      <c r="H493" s="102"/>
      <c r="I493" s="112"/>
      <c r="J493" s="112"/>
      <c r="K493" s="103" t="str">
        <f t="shared" si="1"/>
        <v/>
      </c>
      <c r="L493" s="102"/>
      <c r="M493" s="102"/>
      <c r="N493" s="112"/>
      <c r="O493" s="102"/>
    </row>
    <row r="494" ht="14.25" customHeight="1">
      <c r="A494" s="102"/>
      <c r="B494" s="102"/>
      <c r="C494" s="102"/>
      <c r="D494" s="102"/>
      <c r="E494" s="102"/>
      <c r="F494" s="102"/>
      <c r="G494" s="102"/>
      <c r="H494" s="102"/>
      <c r="I494" s="112"/>
      <c r="J494" s="112"/>
      <c r="K494" s="103" t="str">
        <f t="shared" si="1"/>
        <v/>
      </c>
      <c r="L494" s="102"/>
      <c r="M494" s="102"/>
      <c r="N494" s="112"/>
      <c r="O494" s="102"/>
    </row>
    <row r="495" ht="14.25" customHeight="1">
      <c r="A495" s="102"/>
      <c r="B495" s="102"/>
      <c r="C495" s="102"/>
      <c r="D495" s="102"/>
      <c r="E495" s="102"/>
      <c r="F495" s="102"/>
      <c r="G495" s="102"/>
      <c r="H495" s="102"/>
      <c r="I495" s="112"/>
      <c r="J495" s="112"/>
      <c r="K495" s="103" t="str">
        <f t="shared" si="1"/>
        <v/>
      </c>
      <c r="L495" s="102"/>
      <c r="M495" s="102"/>
      <c r="N495" s="112"/>
      <c r="O495" s="102"/>
    </row>
    <row r="496" ht="14.25" customHeight="1">
      <c r="A496" s="102"/>
      <c r="B496" s="102"/>
      <c r="C496" s="102"/>
      <c r="D496" s="102"/>
      <c r="E496" s="102"/>
      <c r="F496" s="102"/>
      <c r="G496" s="102"/>
      <c r="H496" s="102"/>
      <c r="I496" s="112"/>
      <c r="J496" s="112"/>
      <c r="K496" s="103" t="str">
        <f t="shared" si="1"/>
        <v/>
      </c>
      <c r="L496" s="102"/>
      <c r="M496" s="102"/>
      <c r="N496" s="112"/>
      <c r="O496" s="102"/>
    </row>
    <row r="497" ht="14.25" customHeight="1">
      <c r="A497" s="102"/>
      <c r="B497" s="102"/>
      <c r="C497" s="102"/>
      <c r="D497" s="102"/>
      <c r="E497" s="102"/>
      <c r="F497" s="102"/>
      <c r="G497" s="102"/>
      <c r="H497" s="102"/>
      <c r="I497" s="112"/>
      <c r="J497" s="112"/>
      <c r="K497" s="103" t="str">
        <f t="shared" si="1"/>
        <v/>
      </c>
      <c r="L497" s="102"/>
      <c r="M497" s="102"/>
      <c r="N497" s="112"/>
      <c r="O497" s="102"/>
    </row>
    <row r="498" ht="14.25" customHeight="1">
      <c r="A498" s="102"/>
      <c r="B498" s="102"/>
      <c r="C498" s="102"/>
      <c r="D498" s="102"/>
      <c r="E498" s="102"/>
      <c r="F498" s="102"/>
      <c r="G498" s="102"/>
      <c r="H498" s="102"/>
      <c r="I498" s="112"/>
      <c r="J498" s="112"/>
      <c r="K498" s="103" t="str">
        <f t="shared" si="1"/>
        <v/>
      </c>
      <c r="L498" s="102"/>
      <c r="M498" s="102"/>
      <c r="N498" s="112"/>
      <c r="O498" s="102"/>
    </row>
    <row r="499" ht="14.25" customHeight="1">
      <c r="A499" s="102"/>
      <c r="B499" s="102"/>
      <c r="C499" s="102"/>
      <c r="D499" s="102"/>
      <c r="E499" s="102"/>
      <c r="F499" s="102"/>
      <c r="G499" s="102"/>
      <c r="H499" s="102"/>
      <c r="I499" s="112"/>
      <c r="J499" s="112"/>
      <c r="K499" s="103" t="str">
        <f t="shared" si="1"/>
        <v/>
      </c>
      <c r="L499" s="102"/>
      <c r="M499" s="102"/>
      <c r="N499" s="112"/>
      <c r="O499" s="102"/>
    </row>
    <row r="500" ht="14.25" customHeight="1">
      <c r="A500" s="102"/>
      <c r="B500" s="102"/>
      <c r="C500" s="102"/>
      <c r="D500" s="102"/>
      <c r="E500" s="102"/>
      <c r="F500" s="102"/>
      <c r="G500" s="102"/>
      <c r="H500" s="102"/>
      <c r="I500" s="112"/>
      <c r="J500" s="112"/>
      <c r="K500" s="103" t="str">
        <f t="shared" si="1"/>
        <v/>
      </c>
      <c r="L500" s="102"/>
      <c r="M500" s="102"/>
      <c r="N500" s="112"/>
      <c r="O500" s="102"/>
    </row>
    <row r="501" ht="14.25" customHeight="1">
      <c r="A501" s="102"/>
      <c r="B501" s="102"/>
      <c r="C501" s="102"/>
      <c r="D501" s="102"/>
      <c r="E501" s="102"/>
      <c r="F501" s="102"/>
      <c r="G501" s="102"/>
      <c r="H501" s="102"/>
      <c r="I501" s="112"/>
      <c r="J501" s="112"/>
      <c r="K501" s="103" t="str">
        <f t="shared" si="1"/>
        <v/>
      </c>
      <c r="L501" s="102"/>
      <c r="M501" s="102"/>
      <c r="N501" s="112"/>
      <c r="O501" s="102"/>
    </row>
    <row r="502" ht="14.25" customHeight="1">
      <c r="A502" s="102"/>
      <c r="B502" s="102"/>
      <c r="C502" s="102"/>
      <c r="D502" s="102"/>
      <c r="E502" s="102"/>
      <c r="F502" s="102"/>
      <c r="G502" s="102"/>
      <c r="H502" s="102"/>
      <c r="I502" s="112"/>
      <c r="J502" s="112"/>
      <c r="K502" s="103" t="str">
        <f t="shared" si="1"/>
        <v/>
      </c>
      <c r="L502" s="102"/>
      <c r="M502" s="102"/>
      <c r="N502" s="112"/>
      <c r="O502" s="102"/>
    </row>
    <row r="503" ht="14.25" customHeight="1">
      <c r="A503" s="102"/>
      <c r="B503" s="102"/>
      <c r="C503" s="102"/>
      <c r="D503" s="102"/>
      <c r="E503" s="102"/>
      <c r="F503" s="102"/>
      <c r="G503" s="102"/>
      <c r="H503" s="102"/>
      <c r="I503" s="112"/>
      <c r="J503" s="112"/>
      <c r="K503" s="103" t="str">
        <f t="shared" si="1"/>
        <v/>
      </c>
      <c r="L503" s="102"/>
      <c r="M503" s="102"/>
      <c r="N503" s="112"/>
      <c r="O503" s="102"/>
    </row>
    <row r="504" ht="14.25" customHeight="1">
      <c r="A504" s="102"/>
      <c r="B504" s="102"/>
      <c r="C504" s="102"/>
      <c r="D504" s="102"/>
      <c r="E504" s="102"/>
      <c r="F504" s="102"/>
      <c r="G504" s="102"/>
      <c r="H504" s="102"/>
      <c r="I504" s="112"/>
      <c r="J504" s="112"/>
      <c r="K504" s="103" t="str">
        <f t="shared" si="1"/>
        <v/>
      </c>
      <c r="L504" s="102"/>
      <c r="M504" s="102"/>
      <c r="N504" s="112"/>
      <c r="O504" s="102"/>
    </row>
    <row r="505" ht="14.25" customHeight="1">
      <c r="A505" s="102"/>
      <c r="B505" s="102"/>
      <c r="C505" s="102"/>
      <c r="D505" s="102"/>
      <c r="E505" s="102"/>
      <c r="F505" s="102"/>
      <c r="G505" s="102"/>
      <c r="H505" s="102"/>
      <c r="I505" s="112"/>
      <c r="J505" s="112"/>
      <c r="K505" s="103" t="str">
        <f t="shared" si="1"/>
        <v/>
      </c>
      <c r="L505" s="102"/>
      <c r="M505" s="102"/>
      <c r="N505" s="112"/>
      <c r="O505" s="102"/>
    </row>
    <row r="506" ht="14.25" customHeight="1">
      <c r="A506" s="104"/>
      <c r="B506" s="104"/>
      <c r="C506" s="104"/>
      <c r="D506" s="104"/>
      <c r="E506" s="104"/>
      <c r="F506" s="104"/>
      <c r="G506" s="104"/>
      <c r="H506" s="104"/>
      <c r="I506" s="115"/>
      <c r="J506" s="115"/>
      <c r="K506" s="105" t="str">
        <f t="shared" si="1"/>
        <v/>
      </c>
      <c r="L506" s="104"/>
      <c r="M506" s="104"/>
      <c r="N506" s="115"/>
      <c r="O506" s="104"/>
    </row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C20C43D3-7CFA-440F-A553-CEA274A06E6F}" filter="1" showAutoFilter="1">
      <autoFilter ref="$A$6:$O$506"/>
      <extLst>
        <ext uri="GoogleSheetsCustomDataVersion1">
          <go:sheetsCustomData xmlns:go="http://customooxmlschemas.google.com/" filterViewId="1293230590"/>
        </ext>
      </extLst>
    </customSheetView>
  </customSheetViews>
  <mergeCells count="3">
    <mergeCell ref="A1:O1"/>
    <mergeCell ref="A2:O2"/>
    <mergeCell ref="A4:O4"/>
  </mergeCells>
  <conditionalFormatting sqref="K7:K506">
    <cfRule type="colorScale" priority="1">
      <colorScale>
        <cfvo type="min"/>
        <cfvo type="percentile" val="50"/>
        <cfvo type="max"/>
        <color rgb="FFFADBD8"/>
        <color rgb="FFFFF0C2"/>
        <color rgb="FFDDF3E0"/>
      </colorScale>
    </cfRule>
  </conditionalFormatting>
  <dataValidations>
    <dataValidation type="list" allowBlank="1" sqref="C7:C506">
      <formula1>'Cadastro Unidades'!$E$6:$E$222</formula1>
    </dataValidation>
    <dataValidation type="list" allowBlank="1" sqref="G7:G506">
      <formula1>"Imediata,Alta,Média,Baixa"</formula1>
    </dataValidation>
    <dataValidation type="list" allowBlank="1" sqref="L7:L506">
      <formula1>"Não iniciada,Em andamento,Concluída,Vencida,Suspensa"</formula1>
    </dataValidation>
    <dataValidation type="list" allowBlank="1" sqref="O7:O506">
      <formula1>"Validada,Pendente,Reprovada"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7" width="12.0"/>
    <col customWidth="1" min="18" max="18" width="20.0"/>
    <col customWidth="1" min="19" max="19" width="8.63"/>
    <col customWidth="1" min="20" max="20" width="19.13"/>
    <col customWidth="1" min="21" max="26" width="8.63"/>
  </cols>
  <sheetData>
    <row r="1" ht="33.75" customHeight="1">
      <c r="A1" s="1" t="s">
        <v>2806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30.0" customHeight="1">
      <c r="A2" s="4" t="s">
        <v>2807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T3" s="148" t="s">
        <v>19</v>
      </c>
      <c r="U3" s="148" t="s">
        <v>2808</v>
      </c>
    </row>
    <row r="4" ht="14.25" customHeight="1">
      <c r="T4" s="89" t="s">
        <v>23</v>
      </c>
      <c r="U4" s="89">
        <f>COUNTIF('Auditoria Documental'!$K$7:$K$1000,T4)</f>
        <v>0</v>
      </c>
    </row>
    <row r="5" ht="14.25" customHeight="1">
      <c r="A5" s="149" t="s">
        <v>2809</v>
      </c>
      <c r="B5" s="150"/>
      <c r="C5" s="151"/>
      <c r="D5" s="152" t="s">
        <v>2810</v>
      </c>
      <c r="E5" s="150"/>
      <c r="F5" s="151"/>
      <c r="G5" s="153" t="s">
        <v>2811</v>
      </c>
      <c r="H5" s="150"/>
      <c r="I5" s="151"/>
      <c r="J5" s="154" t="s">
        <v>2543</v>
      </c>
      <c r="K5" s="150"/>
      <c r="L5" s="151"/>
      <c r="M5" s="155" t="s">
        <v>2812</v>
      </c>
      <c r="N5" s="150"/>
      <c r="O5" s="151"/>
      <c r="P5" s="156" t="s">
        <v>2813</v>
      </c>
      <c r="Q5" s="150"/>
      <c r="R5" s="151"/>
      <c r="T5" s="89" t="s">
        <v>27</v>
      </c>
      <c r="U5" s="89">
        <f>COUNTIF('Auditoria Documental'!$K$7:$K$1000,T5)</f>
        <v>0</v>
      </c>
    </row>
    <row r="6" ht="24.0" customHeight="1">
      <c r="A6" s="157">
        <f>COUNTA('Cadastro Unidades'!$E$6:$E$222)</f>
        <v>217</v>
      </c>
      <c r="B6" s="158"/>
      <c r="C6" s="159"/>
      <c r="D6" s="157">
        <f>COUNTA('Lista Mestra'!$A$7:$A$59)</f>
        <v>53</v>
      </c>
      <c r="E6" s="158"/>
      <c r="F6" s="159"/>
      <c r="G6" s="157">
        <f>COUNTA('Plano de Auditoria'!$A$6:$A$223)</f>
        <v>217</v>
      </c>
      <c r="H6" s="158"/>
      <c r="I6" s="159"/>
      <c r="J6" s="157">
        <f>COUNTIFS('Auditoria Documental'!$K$7:$K$1000,"&lt;&gt;Não avaliado",'Auditoria Documental'!$K$7:$K$1000,"&lt;&gt;")</f>
        <v>0</v>
      </c>
      <c r="K6" s="158"/>
      <c r="L6" s="159"/>
      <c r="M6" s="157">
        <f>COUNTIF('Auditoria Documental'!$K$7:$K$1000,"Não conforme")</f>
        <v>0</v>
      </c>
      <c r="N6" s="158"/>
      <c r="O6" s="159"/>
      <c r="P6" s="160">
        <f>IFERROR(SUM('Auditoria Documental'!$N$7:$N$1000)/SUM('Auditoria Documental'!$M$7:$M$1000),0)</f>
        <v>0</v>
      </c>
      <c r="Q6" s="158"/>
      <c r="R6" s="159"/>
      <c r="T6" s="89" t="s">
        <v>31</v>
      </c>
      <c r="U6" s="89">
        <f>COUNTIF('Auditoria Documental'!$K$7:$K$1000,T6)</f>
        <v>0</v>
      </c>
    </row>
    <row r="7" ht="24.0" customHeight="1">
      <c r="A7" s="161"/>
      <c r="C7" s="162"/>
      <c r="D7" s="161"/>
      <c r="F7" s="162"/>
      <c r="G7" s="161"/>
      <c r="I7" s="162"/>
      <c r="J7" s="161"/>
      <c r="L7" s="162"/>
      <c r="M7" s="161"/>
      <c r="O7" s="162"/>
      <c r="P7" s="161"/>
      <c r="R7" s="162"/>
      <c r="T7" s="89" t="s">
        <v>35</v>
      </c>
      <c r="U7" s="89">
        <f>COUNTIF('Auditoria Documental'!$K$7:$K$1000,T7)</f>
        <v>0</v>
      </c>
    </row>
    <row r="8" ht="24.0" customHeight="1">
      <c r="A8" s="163"/>
      <c r="B8" s="164"/>
      <c r="C8" s="165"/>
      <c r="D8" s="163"/>
      <c r="E8" s="164"/>
      <c r="F8" s="165"/>
      <c r="G8" s="163"/>
      <c r="H8" s="164"/>
      <c r="I8" s="165"/>
      <c r="J8" s="163"/>
      <c r="K8" s="164"/>
      <c r="L8" s="165"/>
      <c r="M8" s="163"/>
      <c r="N8" s="164"/>
      <c r="O8" s="165"/>
      <c r="P8" s="163"/>
      <c r="Q8" s="164"/>
      <c r="R8" s="165"/>
      <c r="T8" s="89" t="s">
        <v>2784</v>
      </c>
      <c r="U8" s="89">
        <f>COUNTIF('Auditoria Documental'!$K$7:$K$1000,T8)</f>
        <v>53</v>
      </c>
    </row>
    <row r="9" ht="14.25" customHeight="1">
      <c r="A9" s="166" t="s">
        <v>2814</v>
      </c>
      <c r="B9" s="167"/>
      <c r="C9" s="168"/>
      <c r="D9" s="166" t="s">
        <v>2815</v>
      </c>
      <c r="E9" s="167"/>
      <c r="F9" s="168"/>
      <c r="G9" s="166" t="s">
        <v>2816</v>
      </c>
      <c r="H9" s="167"/>
      <c r="I9" s="168"/>
      <c r="J9" s="166" t="s">
        <v>2817</v>
      </c>
      <c r="K9" s="167"/>
      <c r="L9" s="168"/>
      <c r="M9" s="166" t="s">
        <v>2818</v>
      </c>
      <c r="N9" s="167"/>
      <c r="O9" s="168"/>
      <c r="P9" s="166" t="s">
        <v>2819</v>
      </c>
      <c r="Q9" s="167"/>
      <c r="R9" s="168"/>
    </row>
    <row r="10" ht="14.25" customHeight="1"/>
    <row r="11" ht="14.25" customHeight="1">
      <c r="T11" s="89" t="s">
        <v>2820</v>
      </c>
      <c r="U11" s="89" t="s">
        <v>2821</v>
      </c>
    </row>
    <row r="12" ht="14.25" customHeight="1">
      <c r="T12" s="89" t="s">
        <v>2822</v>
      </c>
      <c r="U12" s="89">
        <f>COUNTIF('Lista Mestra'!$B$7:$B$59,"1. Documentos institucionais")</f>
        <v>7</v>
      </c>
    </row>
    <row r="13" ht="14.25" customHeight="1">
      <c r="T13" s="89" t="s">
        <v>2823</v>
      </c>
      <c r="U13" s="89">
        <f>COUNTIF('Lista Mestra'!$B$7:$B$59,"2. Secretaria escolar")</f>
        <v>8</v>
      </c>
    </row>
    <row r="14" ht="14.25" customHeight="1">
      <c r="T14" s="89" t="s">
        <v>2824</v>
      </c>
      <c r="U14" s="89">
        <f>COUNTIF('Lista Mestra'!$B$7:$B$59,"3. Documentação dos estudantes")</f>
        <v>9</v>
      </c>
    </row>
    <row r="15" ht="14.25" customHeight="1">
      <c r="T15" s="89" t="s">
        <v>2825</v>
      </c>
      <c r="U15" s="89">
        <f>COUNTIF('Lista Mestra'!$B$7:$B$59,"4. Documentação dos servidores")</f>
        <v>5</v>
      </c>
    </row>
    <row r="16" ht="14.25" customHeight="1">
      <c r="T16" s="89" t="s">
        <v>2826</v>
      </c>
      <c r="U16" s="89">
        <f>COUNTIF('Lista Mestra'!$B$7:$B$59,"5. Documentos administrativos")</f>
        <v>5</v>
      </c>
    </row>
    <row r="17" ht="14.25" customHeight="1">
      <c r="T17" s="89" t="s">
        <v>2827</v>
      </c>
      <c r="U17" s="89">
        <f>COUNTIF('Lista Mestra'!$B$7:$B$59,"6. Itens verificados pela CDE")</f>
        <v>7</v>
      </c>
    </row>
    <row r="18" ht="14.25" customHeight="1">
      <c r="T18" s="89" t="s">
        <v>2828</v>
      </c>
      <c r="U18" s="89">
        <f>COUNTIF('Lista Mestra'!$B$7:$B$59,"7. Checklist da visita")</f>
        <v>12</v>
      </c>
    </row>
    <row r="19" ht="14.25" customHeight="1"/>
    <row r="20" ht="14.25" customHeight="1"/>
    <row r="21" ht="14.25" customHeight="1">
      <c r="T21" s="89" t="s">
        <v>45</v>
      </c>
      <c r="U21" s="89" t="s">
        <v>2829</v>
      </c>
      <c r="V21" s="89" t="s">
        <v>2830</v>
      </c>
    </row>
    <row r="22" ht="14.25" customHeight="1">
      <c r="T22" s="89" t="s">
        <v>71</v>
      </c>
      <c r="U22" s="89">
        <f>COUNTIFS('Cadastro Unidades'!$A$6:$A$222,T22,'Cadastro Unidades'!$C$6:$C$222,"MUNICIPAL")</f>
        <v>14</v>
      </c>
      <c r="V22" s="89">
        <f>COUNTIFS('Cadastro Unidades'!$A$6:$A$222,T22,'Cadastro Unidades'!$C$6:$C$222,"OSC/CONVENIADA")</f>
        <v>3</v>
      </c>
    </row>
    <row r="23" ht="14.25" customHeight="1">
      <c r="T23" s="89" t="s">
        <v>257</v>
      </c>
      <c r="U23" s="89">
        <f>COUNTIFS('Cadastro Unidades'!$A$6:$A$222,T23,'Cadastro Unidades'!$C$6:$C$222,"MUNICIPAL")</f>
        <v>35</v>
      </c>
      <c r="V23" s="89">
        <f>COUNTIFS('Cadastro Unidades'!$A$6:$A$222,T23,'Cadastro Unidades'!$C$6:$C$222,"OSC/CONVENIADA")</f>
        <v>10</v>
      </c>
    </row>
    <row r="24" ht="14.25" customHeight="1">
      <c r="T24" s="89" t="s">
        <v>696</v>
      </c>
      <c r="U24" s="89">
        <f>COUNTIFS('Cadastro Unidades'!$A$6:$A$222,T24,'Cadastro Unidades'!$C$6:$C$222,"MUNICIPAL")</f>
        <v>19</v>
      </c>
      <c r="V24" s="89">
        <f>COUNTIFS('Cadastro Unidades'!$A$6:$A$222,T24,'Cadastro Unidades'!$C$6:$C$222,"OSC/CONVENIADA")</f>
        <v>3</v>
      </c>
    </row>
    <row r="25" ht="14.25" customHeight="1">
      <c r="T25" s="89" t="s">
        <v>914</v>
      </c>
      <c r="U25" s="89">
        <f>COUNTIFS('Cadastro Unidades'!$A$6:$A$222,T25,'Cadastro Unidades'!$C$6:$C$222,"MUNICIPAL")</f>
        <v>31</v>
      </c>
      <c r="V25" s="89">
        <f>COUNTIFS('Cadastro Unidades'!$A$6:$A$222,T25,'Cadastro Unidades'!$C$6:$C$222,"OSC/CONVENIADA")</f>
        <v>8</v>
      </c>
    </row>
    <row r="26" ht="14.25" customHeight="1">
      <c r="N26" s="169" t="s">
        <v>2831</v>
      </c>
      <c r="O26" s="2"/>
      <c r="P26" s="2"/>
      <c r="Q26" s="2"/>
      <c r="R26" s="3"/>
      <c r="T26" s="89" t="s">
        <v>1286</v>
      </c>
      <c r="U26" s="89">
        <f>COUNTIFS('Cadastro Unidades'!$A$6:$A$222,T26,'Cadastro Unidades'!$C$6:$C$222,"MUNICIPAL")</f>
        <v>24</v>
      </c>
      <c r="V26" s="89">
        <f>COUNTIFS('Cadastro Unidades'!$A$6:$A$222,T26,'Cadastro Unidades'!$C$6:$C$222,"OSC/CONVENIADA")</f>
        <v>9</v>
      </c>
    </row>
    <row r="27" ht="33.75" customHeight="1">
      <c r="N27" s="170" t="s">
        <v>2832</v>
      </c>
      <c r="O27" s="171"/>
      <c r="P27" s="172" t="s">
        <v>2833</v>
      </c>
      <c r="Q27" s="170" t="s">
        <v>2834</v>
      </c>
      <c r="R27" s="171"/>
      <c r="T27" s="89" t="s">
        <v>1604</v>
      </c>
      <c r="U27" s="89">
        <f>COUNTIFS('Cadastro Unidades'!$A$6:$A$222,T27,'Cadastro Unidades'!$C$6:$C$222,"MUNICIPAL")</f>
        <v>15</v>
      </c>
      <c r="V27" s="89">
        <f>COUNTIFS('Cadastro Unidades'!$A$6:$A$222,T27,'Cadastro Unidades'!$C$6:$C$222,"OSC/CONVENIADA")</f>
        <v>4</v>
      </c>
    </row>
    <row r="28" ht="14.25" customHeight="1">
      <c r="N28" s="173" t="s">
        <v>2835</v>
      </c>
      <c r="O28" s="174"/>
      <c r="P28" s="175">
        <f>COUNTA('Cadastro Unidades'!$L$6:$L$222)</f>
        <v>217</v>
      </c>
      <c r="Q28" s="176">
        <f>IFERROR(P28/COUNTA('Cadastro Unidades'!$E$6:$E$222),0)</f>
        <v>1</v>
      </c>
      <c r="R28" s="174"/>
      <c r="T28" s="89" t="s">
        <v>1790</v>
      </c>
      <c r="U28" s="89">
        <f>COUNTIFS('Cadastro Unidades'!$A$6:$A$222,T28,'Cadastro Unidades'!$C$6:$C$222,"MUNICIPAL")</f>
        <v>18</v>
      </c>
      <c r="V28" s="89">
        <f>COUNTIFS('Cadastro Unidades'!$A$6:$A$222,T28,'Cadastro Unidades'!$C$6:$C$222,"OSC/CONVENIADA")</f>
        <v>2</v>
      </c>
    </row>
    <row r="29" ht="14.25" customHeight="1">
      <c r="N29" s="177" t="s">
        <v>2836</v>
      </c>
      <c r="O29" s="178"/>
      <c r="P29" s="179">
        <f>COUNTA('Cadastro Unidades'!$O$6:$O$222)</f>
        <v>217</v>
      </c>
      <c r="Q29" s="180">
        <f>IFERROR(P29/COUNTA('Cadastro Unidades'!$E$6:$E$222),0)</f>
        <v>1</v>
      </c>
      <c r="R29" s="178"/>
      <c r="T29" s="89" t="s">
        <v>1960</v>
      </c>
      <c r="U29" s="89">
        <f>COUNTIFS('Cadastro Unidades'!$A$6:$A$222,T29,'Cadastro Unidades'!$C$6:$C$222,"MUNICIPAL")</f>
        <v>19</v>
      </c>
      <c r="V29" s="89">
        <f>COUNTIFS('Cadastro Unidades'!$A$6:$A$222,T29,'Cadastro Unidades'!$C$6:$C$222,"OSC/CONVENIADA")</f>
        <v>3</v>
      </c>
    </row>
    <row r="30" ht="14.25" customHeight="1">
      <c r="N30" s="177" t="s">
        <v>2837</v>
      </c>
      <c r="O30" s="178"/>
      <c r="P30" s="179">
        <f>COUNTA('Cadastro Unidades'!$P$6:$P$222)</f>
        <v>21</v>
      </c>
      <c r="Q30" s="180">
        <f>IFERROR(P30/COUNTA('Cadastro Unidades'!$E$6:$E$222),0)</f>
        <v>0.09677419355</v>
      </c>
      <c r="R30" s="178"/>
    </row>
    <row r="31" ht="14.25" customHeight="1">
      <c r="N31" s="177" t="s">
        <v>2838</v>
      </c>
      <c r="O31" s="178"/>
      <c r="P31" s="179">
        <f>COUNTA('Cadastro Unidades'!$Q$6:$Q$222)</f>
        <v>165</v>
      </c>
      <c r="Q31" s="180">
        <f>IFERROR(P31/COUNTA('Cadastro Unidades'!$E$6:$E$222),0)</f>
        <v>0.7603686636</v>
      </c>
      <c r="R31" s="178"/>
    </row>
    <row r="32" ht="14.25" customHeight="1">
      <c r="N32" s="181" t="s">
        <v>2839</v>
      </c>
      <c r="O32" s="182"/>
      <c r="P32" s="183">
        <f>COUNTIF('Cadastro Unidades'!$F$6:$F$222,"ATIVA")</f>
        <v>217</v>
      </c>
      <c r="Q32" s="184">
        <f>IFERROR(P32/COUNTA('Cadastro Unidades'!$E$6:$E$222),0)</f>
        <v>1</v>
      </c>
      <c r="R32" s="182"/>
    </row>
    <row r="33" ht="14.25" customHeight="1"/>
    <row r="34" ht="14.25" customHeight="1">
      <c r="N34" s="13" t="s">
        <v>2840</v>
      </c>
      <c r="O34" s="2"/>
      <c r="P34" s="2"/>
      <c r="Q34" s="2"/>
      <c r="R34" s="3"/>
    </row>
    <row r="35" ht="14.25" customHeight="1">
      <c r="N35" s="173" t="s">
        <v>23</v>
      </c>
      <c r="O35" s="167"/>
      <c r="P35" s="167"/>
      <c r="Q35" s="174"/>
      <c r="R35" s="185" t="s">
        <v>2841</v>
      </c>
    </row>
    <row r="36" ht="14.25" customHeight="1">
      <c r="N36" s="177" t="s">
        <v>27</v>
      </c>
      <c r="O36" s="138"/>
      <c r="P36" s="138"/>
      <c r="Q36" s="178"/>
      <c r="R36" s="186" t="s">
        <v>2842</v>
      </c>
    </row>
    <row r="37" ht="14.25" customHeight="1">
      <c r="N37" s="177" t="s">
        <v>31</v>
      </c>
      <c r="O37" s="138"/>
      <c r="P37" s="138"/>
      <c r="Q37" s="178"/>
      <c r="R37" s="186" t="s">
        <v>2843</v>
      </c>
    </row>
    <row r="38" ht="14.25" customHeight="1">
      <c r="N38" s="177" t="s">
        <v>35</v>
      </c>
      <c r="O38" s="138"/>
      <c r="P38" s="138"/>
      <c r="Q38" s="178"/>
      <c r="R38" s="186" t="s">
        <v>2844</v>
      </c>
    </row>
    <row r="39" ht="14.25" customHeight="1">
      <c r="N39" s="181" t="s">
        <v>2784</v>
      </c>
      <c r="O39" s="150"/>
      <c r="P39" s="150"/>
      <c r="Q39" s="182"/>
      <c r="R39" s="187" t="s">
        <v>2845</v>
      </c>
    </row>
    <row r="40" ht="14.25" customHeight="1"/>
    <row r="41" ht="37.5" customHeight="1">
      <c r="A41" s="97" t="s">
        <v>2846</v>
      </c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9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0">
    <mergeCell ref="A1:R1"/>
    <mergeCell ref="A2:R2"/>
    <mergeCell ref="D5:F5"/>
    <mergeCell ref="G5:I5"/>
    <mergeCell ref="J5:L5"/>
    <mergeCell ref="M5:O5"/>
    <mergeCell ref="P5:R5"/>
    <mergeCell ref="A5:C5"/>
    <mergeCell ref="A6:C8"/>
    <mergeCell ref="D6:F8"/>
    <mergeCell ref="G6:I8"/>
    <mergeCell ref="J6:L8"/>
    <mergeCell ref="M6:O8"/>
    <mergeCell ref="P6:R8"/>
    <mergeCell ref="A9:C9"/>
    <mergeCell ref="D9:F9"/>
    <mergeCell ref="G9:I9"/>
    <mergeCell ref="J9:L9"/>
    <mergeCell ref="M9:O9"/>
    <mergeCell ref="P9:R9"/>
    <mergeCell ref="N26:R26"/>
    <mergeCell ref="N30:O30"/>
    <mergeCell ref="N31:O31"/>
    <mergeCell ref="N32:O32"/>
    <mergeCell ref="N27:O27"/>
    <mergeCell ref="Q27:R27"/>
    <mergeCell ref="N28:O28"/>
    <mergeCell ref="Q28:R28"/>
    <mergeCell ref="N29:O29"/>
    <mergeCell ref="Q29:R29"/>
    <mergeCell ref="Q30:R30"/>
    <mergeCell ref="N39:Q39"/>
    <mergeCell ref="A41:R41"/>
    <mergeCell ref="Q31:R31"/>
    <mergeCell ref="Q32:R32"/>
    <mergeCell ref="N34:R34"/>
    <mergeCell ref="N35:Q35"/>
    <mergeCell ref="N36:Q36"/>
    <mergeCell ref="N37:Q37"/>
    <mergeCell ref="N38:Q38"/>
  </mergeCells>
  <conditionalFormatting sqref="N35:Q39">
    <cfRule type="expression" dxfId="0" priority="1">
      <formula>N35="Conforme"</formula>
    </cfRule>
  </conditionalFormatting>
  <conditionalFormatting sqref="N35:Q39">
    <cfRule type="expression" dxfId="1" priority="2">
      <formula>N35="Parcialmente conforme"</formula>
    </cfRule>
  </conditionalFormatting>
  <conditionalFormatting sqref="N35:Q39">
    <cfRule type="expression" dxfId="2" priority="3">
      <formula>N35="Não conforme"</formula>
    </cfRule>
  </conditionalFormatting>
  <conditionalFormatting sqref="N35:Q39">
    <cfRule type="expression" dxfId="3" priority="4">
      <formula>N35="Não se aplica"</formula>
    </cfRule>
  </conditionalFormatting>
  <conditionalFormatting sqref="N35:Q39">
    <cfRule type="expression" dxfId="4" priority="5">
      <formula>N35="Não avaliado"</formula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0"/>
    <col customWidth="1" min="2" max="2" width="14.0"/>
    <col customWidth="1" min="3" max="3" width="18.0"/>
    <col customWidth="1" min="4" max="4" width="13.0"/>
    <col customWidth="1" min="5" max="7" width="15.0"/>
    <col customWidth="1" min="8" max="8" width="48.0"/>
    <col customWidth="1" min="9" max="9" width="16.0"/>
    <col customWidth="1" min="10" max="10" width="14.0"/>
    <col customWidth="1" min="11" max="11" width="19.0"/>
    <col customWidth="1" min="12" max="26" width="8.63"/>
  </cols>
  <sheetData>
    <row r="1" ht="33.75" customHeight="1">
      <c r="A1" s="1" t="s">
        <v>2847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0.0" customHeight="1">
      <c r="A2" s="4" t="s">
        <v>2848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3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ht="37.5" customHeight="1">
      <c r="A4" s="97" t="s">
        <v>2849</v>
      </c>
      <c r="B4" s="98"/>
      <c r="C4" s="98"/>
      <c r="D4" s="98"/>
      <c r="E4" s="98"/>
      <c r="F4" s="98"/>
      <c r="G4" s="98"/>
      <c r="H4" s="98"/>
      <c r="I4" s="98"/>
      <c r="J4" s="98"/>
      <c r="K4" s="99"/>
    </row>
    <row r="5" ht="14.25" customHeight="1"/>
    <row r="6" ht="33.75" customHeight="1">
      <c r="A6" s="9" t="s">
        <v>2238</v>
      </c>
      <c r="B6" s="9" t="s">
        <v>23</v>
      </c>
      <c r="C6" s="9" t="s">
        <v>27</v>
      </c>
      <c r="D6" s="9" t="s">
        <v>31</v>
      </c>
      <c r="E6" s="9" t="s">
        <v>35</v>
      </c>
      <c r="F6" s="9" t="s">
        <v>2784</v>
      </c>
      <c r="G6" s="9" t="s">
        <v>2850</v>
      </c>
      <c r="H6" s="9" t="s">
        <v>2544</v>
      </c>
    </row>
    <row r="7" ht="14.25" customHeight="1">
      <c r="A7" s="10" t="s">
        <v>2248</v>
      </c>
      <c r="B7" s="188">
        <f>COUNTIFS('Auditoria Documental'!$G$7:$G$1000,$A7,'Auditoria Documental'!$K$7:$K$1000,B$6)</f>
        <v>0</v>
      </c>
      <c r="C7" s="188">
        <f>COUNTIFS('Auditoria Documental'!$G$7:$G$1000,$A7,'Auditoria Documental'!$K$7:$K$1000,C$6)</f>
        <v>0</v>
      </c>
      <c r="D7" s="188">
        <f>COUNTIFS('Auditoria Documental'!$G$7:$G$1000,$A7,'Auditoria Documental'!$K$7:$K$1000,D$6)</f>
        <v>0</v>
      </c>
      <c r="E7" s="188">
        <f>COUNTIFS('Auditoria Documental'!$G$7:$G$1000,$A7,'Auditoria Documental'!$K$7:$K$1000,E$6)</f>
        <v>0</v>
      </c>
      <c r="F7" s="188">
        <f>COUNTIFS('Auditoria Documental'!$G$7:$G$1000,$A7,'Auditoria Documental'!$K$7:$K$1000,F$6)</f>
        <v>7</v>
      </c>
      <c r="G7" s="188">
        <f t="shared" ref="G7:G13" si="1">SUM(B7:F7)</f>
        <v>7</v>
      </c>
      <c r="H7" s="189">
        <f>IFERROR(SUMIFS('Auditoria Documental'!$N$7:$N$1000,'Auditoria Documental'!$G$7:$G$1000,$A7)/SUMIFS('Auditoria Documental'!$M$7:$M$1000,'Auditoria Documental'!$G$7:$G$1000,$A7),"")</f>
        <v>0</v>
      </c>
    </row>
    <row r="8" ht="14.25" customHeight="1">
      <c r="A8" s="11" t="s">
        <v>2292</v>
      </c>
      <c r="B8" s="190">
        <f>COUNTIFS('Auditoria Documental'!$G$7:$G$1000,$A8,'Auditoria Documental'!$K$7:$K$1000,B$6)</f>
        <v>0</v>
      </c>
      <c r="C8" s="190">
        <f>COUNTIFS('Auditoria Documental'!$G$7:$G$1000,$A8,'Auditoria Documental'!$K$7:$K$1000,C$6)</f>
        <v>0</v>
      </c>
      <c r="D8" s="190">
        <f>COUNTIFS('Auditoria Documental'!$G$7:$G$1000,$A8,'Auditoria Documental'!$K$7:$K$1000,D$6)</f>
        <v>0</v>
      </c>
      <c r="E8" s="190">
        <f>COUNTIFS('Auditoria Documental'!$G$7:$G$1000,$A8,'Auditoria Documental'!$K$7:$K$1000,E$6)</f>
        <v>0</v>
      </c>
      <c r="F8" s="190">
        <f>COUNTIFS('Auditoria Documental'!$G$7:$G$1000,$A8,'Auditoria Documental'!$K$7:$K$1000,F$6)</f>
        <v>8</v>
      </c>
      <c r="G8" s="190">
        <f t="shared" si="1"/>
        <v>8</v>
      </c>
      <c r="H8" s="191">
        <f>IFERROR(SUMIFS('Auditoria Documental'!$N$7:$N$1000,'Auditoria Documental'!$G$7:$G$1000,$A8)/SUMIFS('Auditoria Documental'!$M$7:$M$1000,'Auditoria Documental'!$G$7:$G$1000,$A8),"")</f>
        <v>0</v>
      </c>
    </row>
    <row r="9" ht="14.25" customHeight="1">
      <c r="A9" s="11" t="s">
        <v>2334</v>
      </c>
      <c r="B9" s="190">
        <f>COUNTIFS('Auditoria Documental'!$G$7:$G$1000,$A9,'Auditoria Documental'!$K$7:$K$1000,B$6)</f>
        <v>0</v>
      </c>
      <c r="C9" s="190">
        <f>COUNTIFS('Auditoria Documental'!$G$7:$G$1000,$A9,'Auditoria Documental'!$K$7:$K$1000,C$6)</f>
        <v>0</v>
      </c>
      <c r="D9" s="190">
        <f>COUNTIFS('Auditoria Documental'!$G$7:$G$1000,$A9,'Auditoria Documental'!$K$7:$K$1000,D$6)</f>
        <v>0</v>
      </c>
      <c r="E9" s="190">
        <f>COUNTIFS('Auditoria Documental'!$G$7:$G$1000,$A9,'Auditoria Documental'!$K$7:$K$1000,E$6)</f>
        <v>0</v>
      </c>
      <c r="F9" s="190">
        <f>COUNTIFS('Auditoria Documental'!$G$7:$G$1000,$A9,'Auditoria Documental'!$K$7:$K$1000,F$6)</f>
        <v>9</v>
      </c>
      <c r="G9" s="190">
        <f t="shared" si="1"/>
        <v>9</v>
      </c>
      <c r="H9" s="191">
        <f>IFERROR(SUMIFS('Auditoria Documental'!$N$7:$N$1000,'Auditoria Documental'!$G$7:$G$1000,$A9)/SUMIFS('Auditoria Documental'!$M$7:$M$1000,'Auditoria Documental'!$G$7:$G$1000,$A9),"")</f>
        <v>0</v>
      </c>
    </row>
    <row r="10" ht="14.25" customHeight="1">
      <c r="A10" s="11" t="s">
        <v>2388</v>
      </c>
      <c r="B10" s="190">
        <f>COUNTIFS('Auditoria Documental'!$G$7:$G$1000,$A10,'Auditoria Documental'!$K$7:$K$1000,B$6)</f>
        <v>0</v>
      </c>
      <c r="C10" s="190">
        <f>COUNTIFS('Auditoria Documental'!$G$7:$G$1000,$A10,'Auditoria Documental'!$K$7:$K$1000,C$6)</f>
        <v>0</v>
      </c>
      <c r="D10" s="190">
        <f>COUNTIFS('Auditoria Documental'!$G$7:$G$1000,$A10,'Auditoria Documental'!$K$7:$K$1000,D$6)</f>
        <v>0</v>
      </c>
      <c r="E10" s="190">
        <f>COUNTIFS('Auditoria Documental'!$G$7:$G$1000,$A10,'Auditoria Documental'!$K$7:$K$1000,E$6)</f>
        <v>0</v>
      </c>
      <c r="F10" s="190">
        <f>COUNTIFS('Auditoria Documental'!$G$7:$G$1000,$A10,'Auditoria Documental'!$K$7:$K$1000,F$6)</f>
        <v>5</v>
      </c>
      <c r="G10" s="190">
        <f t="shared" si="1"/>
        <v>5</v>
      </c>
      <c r="H10" s="191">
        <f>IFERROR(SUMIFS('Auditoria Documental'!$N$7:$N$1000,'Auditoria Documental'!$G$7:$G$1000,$A10)/SUMIFS('Auditoria Documental'!$M$7:$M$1000,'Auditoria Documental'!$G$7:$G$1000,$A10),"")</f>
        <v>0</v>
      </c>
    </row>
    <row r="11" ht="14.25" customHeight="1">
      <c r="A11" s="11" t="s">
        <v>2417</v>
      </c>
      <c r="B11" s="190">
        <f>COUNTIFS('Auditoria Documental'!$G$7:$G$1000,$A11,'Auditoria Documental'!$K$7:$K$1000,B$6)</f>
        <v>0</v>
      </c>
      <c r="C11" s="190">
        <f>COUNTIFS('Auditoria Documental'!$G$7:$G$1000,$A11,'Auditoria Documental'!$K$7:$K$1000,C$6)</f>
        <v>0</v>
      </c>
      <c r="D11" s="190">
        <f>COUNTIFS('Auditoria Documental'!$G$7:$G$1000,$A11,'Auditoria Documental'!$K$7:$K$1000,D$6)</f>
        <v>0</v>
      </c>
      <c r="E11" s="190">
        <f>COUNTIFS('Auditoria Documental'!$G$7:$G$1000,$A11,'Auditoria Documental'!$K$7:$K$1000,E$6)</f>
        <v>0</v>
      </c>
      <c r="F11" s="190">
        <f>COUNTIFS('Auditoria Documental'!$G$7:$G$1000,$A11,'Auditoria Documental'!$K$7:$K$1000,F$6)</f>
        <v>5</v>
      </c>
      <c r="G11" s="190">
        <f t="shared" si="1"/>
        <v>5</v>
      </c>
      <c r="H11" s="191">
        <f>IFERROR(SUMIFS('Auditoria Documental'!$N$7:$N$1000,'Auditoria Documental'!$G$7:$G$1000,$A11)/SUMIFS('Auditoria Documental'!$M$7:$M$1000,'Auditoria Documental'!$G$7:$G$1000,$A11),"")</f>
        <v>0</v>
      </c>
    </row>
    <row r="12" ht="14.25" customHeight="1">
      <c r="A12" s="11" t="s">
        <v>2444</v>
      </c>
      <c r="B12" s="190">
        <f>COUNTIFS('Auditoria Documental'!$G$7:$G$1000,$A12,'Auditoria Documental'!$K$7:$K$1000,B$6)</f>
        <v>0</v>
      </c>
      <c r="C12" s="190">
        <f>COUNTIFS('Auditoria Documental'!$G$7:$G$1000,$A12,'Auditoria Documental'!$K$7:$K$1000,C$6)</f>
        <v>0</v>
      </c>
      <c r="D12" s="190">
        <f>COUNTIFS('Auditoria Documental'!$G$7:$G$1000,$A12,'Auditoria Documental'!$K$7:$K$1000,D$6)</f>
        <v>0</v>
      </c>
      <c r="E12" s="190">
        <f>COUNTIFS('Auditoria Documental'!$G$7:$G$1000,$A12,'Auditoria Documental'!$K$7:$K$1000,E$6)</f>
        <v>0</v>
      </c>
      <c r="F12" s="190">
        <f>COUNTIFS('Auditoria Documental'!$G$7:$G$1000,$A12,'Auditoria Documental'!$K$7:$K$1000,F$6)</f>
        <v>7</v>
      </c>
      <c r="G12" s="190">
        <f t="shared" si="1"/>
        <v>7</v>
      </c>
      <c r="H12" s="191">
        <f>IFERROR(SUMIFS('Auditoria Documental'!$N$7:$N$1000,'Auditoria Documental'!$G$7:$G$1000,$A12)/SUMIFS('Auditoria Documental'!$M$7:$M$1000,'Auditoria Documental'!$G$7:$G$1000,$A12),"")</f>
        <v>0</v>
      </c>
    </row>
    <row r="13" ht="14.25" customHeight="1">
      <c r="A13" s="12" t="s">
        <v>2483</v>
      </c>
      <c r="B13" s="192">
        <f>COUNTIFS('Auditoria Documental'!$G$7:$G$1000,$A13,'Auditoria Documental'!$K$7:$K$1000,B$6)</f>
        <v>0</v>
      </c>
      <c r="C13" s="192">
        <f>COUNTIFS('Auditoria Documental'!$G$7:$G$1000,$A13,'Auditoria Documental'!$K$7:$K$1000,C$6)</f>
        <v>0</v>
      </c>
      <c r="D13" s="192">
        <f>COUNTIFS('Auditoria Documental'!$G$7:$G$1000,$A13,'Auditoria Documental'!$K$7:$K$1000,D$6)</f>
        <v>0</v>
      </c>
      <c r="E13" s="192">
        <f>COUNTIFS('Auditoria Documental'!$G$7:$G$1000,$A13,'Auditoria Documental'!$K$7:$K$1000,E$6)</f>
        <v>0</v>
      </c>
      <c r="F13" s="192">
        <f>COUNTIFS('Auditoria Documental'!$G$7:$G$1000,$A13,'Auditoria Documental'!$K$7:$K$1000,F$6)</f>
        <v>12</v>
      </c>
      <c r="G13" s="192">
        <f t="shared" si="1"/>
        <v>12</v>
      </c>
      <c r="H13" s="193" t="str">
        <f>IFERROR(SUMIFS('Auditoria Documental'!$N$7:$N$1000,'Auditoria Documental'!$G$7:$G$1000,$A13)/SUMIFS('Auditoria Documental'!$M$7:$M$1000,'Auditoria Documental'!$G$7:$G$1000,$A13),"")</f>
        <v/>
      </c>
    </row>
    <row r="14" ht="14.25" customHeight="1"/>
    <row r="15" ht="14.25" customHeight="1"/>
    <row r="16" ht="14.25" customHeight="1">
      <c r="A16" s="8" t="s">
        <v>2851</v>
      </c>
      <c r="B16" s="2"/>
      <c r="C16" s="2"/>
      <c r="D16" s="2"/>
      <c r="E16" s="3"/>
      <c r="G16" s="8" t="s">
        <v>2852</v>
      </c>
      <c r="H16" s="2"/>
      <c r="I16" s="2"/>
      <c r="J16" s="2"/>
      <c r="K16" s="3"/>
    </row>
    <row r="17" ht="33.75" customHeight="1">
      <c r="A17" s="172" t="s">
        <v>45</v>
      </c>
      <c r="B17" s="172" t="s">
        <v>2829</v>
      </c>
      <c r="C17" s="172" t="s">
        <v>2830</v>
      </c>
      <c r="D17" s="172" t="s">
        <v>2853</v>
      </c>
      <c r="E17" s="172" t="s">
        <v>2854</v>
      </c>
      <c r="G17" s="172" t="s">
        <v>2535</v>
      </c>
      <c r="H17" s="172" t="s">
        <v>2536</v>
      </c>
      <c r="I17" s="172" t="s">
        <v>19</v>
      </c>
      <c r="J17" s="172" t="s">
        <v>2855</v>
      </c>
      <c r="K17" s="172" t="s">
        <v>2828</v>
      </c>
    </row>
    <row r="18" ht="14.25" customHeight="1">
      <c r="A18" s="10" t="s">
        <v>71</v>
      </c>
      <c r="B18" s="188">
        <f>COUNTIFS('Cadastro Unidades'!$A$6:$A$222,A18,'Cadastro Unidades'!$C$6:$C$222,"MUNICIPAL")</f>
        <v>14</v>
      </c>
      <c r="C18" s="188">
        <f>COUNTIFS('Cadastro Unidades'!$A$6:$A$222,A18,'Cadastro Unidades'!$C$6:$C$222,"OSC/CONVENIADA")</f>
        <v>3</v>
      </c>
      <c r="D18" s="188">
        <f t="shared" ref="D18:D25" si="2">SUM(B18:C18)</f>
        <v>17</v>
      </c>
      <c r="E18" s="189">
        <f>IFERROR(D18/COUNTA('Cadastro Unidades'!$E$6:$E$222),0)</f>
        <v>0.07834101382</v>
      </c>
      <c r="G18" s="10" t="str">
        <f>IF('Plano de Auditoria'!$A7="","",'Plano de Auditoria'!A7)</f>
        <v>AUD-002</v>
      </c>
      <c r="H18" s="10" t="str">
        <f>IFERROR(IF('Plano de Auditoria'!$A7="","",'Plano de Auditoria'!B6),"")</f>
        <v>ESCOLA MUNICIPAL PROFESSORA MARIA AUXILIADORA MARTINS GONCALVES</v>
      </c>
      <c r="I18" s="10" t="str">
        <f>IF('Plano de Auditoria'!$A7="","",'Plano de Auditoria'!I6)</f>
        <v>Planejada</v>
      </c>
      <c r="J18" s="189">
        <f>IF('Plano de Auditoria'!$A7="","",'Plano de Auditoria'!L6)</f>
        <v>0</v>
      </c>
      <c r="K18" s="189">
        <f>IF('Plano de Auditoria'!$A7="","",'Plano de Auditoria'!N6)</f>
        <v>0</v>
      </c>
    </row>
    <row r="19" ht="14.25" customHeight="1">
      <c r="A19" s="11" t="s">
        <v>257</v>
      </c>
      <c r="B19" s="190">
        <f>COUNTIFS('Cadastro Unidades'!$A$6:$A$222,A19,'Cadastro Unidades'!$C$6:$C$222,"MUNICIPAL")</f>
        <v>35</v>
      </c>
      <c r="C19" s="190">
        <f>COUNTIFS('Cadastro Unidades'!$A$6:$A$222,A19,'Cadastro Unidades'!$C$6:$C$222,"OSC/CONVENIADA")</f>
        <v>10</v>
      </c>
      <c r="D19" s="190">
        <f t="shared" si="2"/>
        <v>45</v>
      </c>
      <c r="E19" s="191">
        <f>IFERROR(D19/COUNTA('Cadastro Unidades'!$E$6:$E$222),0)</f>
        <v>0.2073732719</v>
      </c>
      <c r="G19" s="11" t="str">
        <f>IF(#REF!="","",#REF!)</f>
        <v>#REF!</v>
      </c>
      <c r="H19" s="11" t="str">
        <f>IFERROR(IF(#REF!="","",'Plano de Auditoria'!B7),"")</f>
        <v/>
      </c>
      <c r="I19" s="11" t="str">
        <f>IF(#REF!="","",'Plano de Auditoria'!I7)</f>
        <v>#REF!</v>
      </c>
      <c r="J19" s="191" t="str">
        <f>IF(#REF!="","",'Plano de Auditoria'!L7)</f>
        <v>#REF!</v>
      </c>
      <c r="K19" s="191" t="str">
        <f>IF(#REF!="","",'Plano de Auditoria'!N7)</f>
        <v>#REF!</v>
      </c>
    </row>
    <row r="20" ht="14.25" customHeight="1">
      <c r="A20" s="11" t="s">
        <v>696</v>
      </c>
      <c r="B20" s="190">
        <f>COUNTIFS('Cadastro Unidades'!$A$6:$A$222,A20,'Cadastro Unidades'!$C$6:$C$222,"MUNICIPAL")</f>
        <v>19</v>
      </c>
      <c r="C20" s="190">
        <f>COUNTIFS('Cadastro Unidades'!$A$6:$A$222,A20,'Cadastro Unidades'!$C$6:$C$222,"OSC/CONVENIADA")</f>
        <v>3</v>
      </c>
      <c r="D20" s="190">
        <f t="shared" si="2"/>
        <v>22</v>
      </c>
      <c r="E20" s="191">
        <f>IFERROR(D20/COUNTA('Cadastro Unidades'!$E$6:$E$222),0)</f>
        <v>0.1013824885</v>
      </c>
      <c r="G20" s="11" t="str">
        <f>IF('Plano de Auditoria'!$A8="","",'Plano de Auditoria'!A8)</f>
        <v>AUD-003</v>
      </c>
      <c r="H20" s="11" t="str">
        <f>IFERROR(IF('Plano de Auditoria'!$A8="","",'Plano de Auditoria'!B8),"")</f>
        <v>ESCOLA MUNICIPAL PROF MIGUEL PERNAMBUCO FILHO</v>
      </c>
      <c r="I20" s="11" t="str">
        <f>IF('Plano de Auditoria'!$A8="","",'Plano de Auditoria'!I8)</f>
        <v/>
      </c>
      <c r="J20" s="191">
        <f>IF('Plano de Auditoria'!$A8="","",'Plano de Auditoria'!L8)</f>
        <v>0</v>
      </c>
      <c r="K20" s="191">
        <f>IF('Plano de Auditoria'!$A8="","",'Plano de Auditoria'!N8)</f>
        <v>0</v>
      </c>
    </row>
    <row r="21" ht="14.25" customHeight="1">
      <c r="A21" s="11" t="s">
        <v>914</v>
      </c>
      <c r="B21" s="190">
        <f>COUNTIFS('Cadastro Unidades'!$A$6:$A$222,A21,'Cadastro Unidades'!$C$6:$C$222,"MUNICIPAL")</f>
        <v>31</v>
      </c>
      <c r="C21" s="190">
        <f>COUNTIFS('Cadastro Unidades'!$A$6:$A$222,A21,'Cadastro Unidades'!$C$6:$C$222,"OSC/CONVENIADA")</f>
        <v>8</v>
      </c>
      <c r="D21" s="190">
        <f t="shared" si="2"/>
        <v>39</v>
      </c>
      <c r="E21" s="191">
        <f>IFERROR(D21/COUNTA('Cadastro Unidades'!$E$6:$E$222),0)</f>
        <v>0.1797235023</v>
      </c>
      <c r="G21" s="11" t="str">
        <f>IF('Plano de Auditoria'!$A9="","",'Plano de Auditoria'!A9)</f>
        <v>AUD-004</v>
      </c>
      <c r="H21" s="11" t="str">
        <f>IFERROR(IF('Plano de Auditoria'!$A9="","",'Plano de Auditoria'!B9),"")</f>
        <v>ANEXO CASA DA CRIANCA SANTA INES DA EM ALZIRA PERNAMBUCO</v>
      </c>
      <c r="I21" s="11" t="str">
        <f>IF('Plano de Auditoria'!$A9="","",'Plano de Auditoria'!I9)</f>
        <v/>
      </c>
      <c r="J21" s="191">
        <f>IF('Plano de Auditoria'!$A9="","",'Plano de Auditoria'!L9)</f>
        <v>0</v>
      </c>
      <c r="K21" s="191">
        <f>IF('Plano de Auditoria'!$A9="","",'Plano de Auditoria'!N9)</f>
        <v>0</v>
      </c>
    </row>
    <row r="22" ht="14.25" customHeight="1">
      <c r="A22" s="11" t="s">
        <v>1286</v>
      </c>
      <c r="B22" s="190">
        <f>COUNTIFS('Cadastro Unidades'!$A$6:$A$222,A22,'Cadastro Unidades'!$C$6:$C$222,"MUNICIPAL")</f>
        <v>24</v>
      </c>
      <c r="C22" s="190">
        <f>COUNTIFS('Cadastro Unidades'!$A$6:$A$222,A22,'Cadastro Unidades'!$C$6:$C$222,"OSC/CONVENIADA")</f>
        <v>9</v>
      </c>
      <c r="D22" s="190">
        <f t="shared" si="2"/>
        <v>33</v>
      </c>
      <c r="E22" s="191">
        <f>IFERROR(D22/COUNTA('Cadastro Unidades'!$E$6:$E$222),0)</f>
        <v>0.1520737327</v>
      </c>
      <c r="G22" s="11" t="str">
        <f>IF('Plano de Auditoria'!$A10="","",'Plano de Auditoria'!A10)</f>
        <v>AUD-005</v>
      </c>
      <c r="H22" s="11" t="str">
        <f>IFERROR(IF('Plano de Auditoria'!$A10="","",'Plano de Auditoria'!B10),"")</f>
        <v>CENTRO EDUCACIONAL ARTE DE EDUCAR OSC ANEXO INSTITUTO ACELERA AMAZONIA</v>
      </c>
      <c r="I22" s="11" t="str">
        <f>IF('Plano de Auditoria'!$A10="","",'Plano de Auditoria'!I10)</f>
        <v/>
      </c>
      <c r="J22" s="191">
        <f>IF('Plano de Auditoria'!$A10="","",'Plano de Auditoria'!L10)</f>
        <v>0</v>
      </c>
      <c r="K22" s="191">
        <f>IF('Plano de Auditoria'!$A10="","",'Plano de Auditoria'!N10)</f>
        <v>0</v>
      </c>
    </row>
    <row r="23" ht="14.25" customHeight="1">
      <c r="A23" s="11" t="s">
        <v>1604</v>
      </c>
      <c r="B23" s="190">
        <f>COUNTIFS('Cadastro Unidades'!$A$6:$A$222,A23,'Cadastro Unidades'!$C$6:$C$222,"MUNICIPAL")</f>
        <v>15</v>
      </c>
      <c r="C23" s="190">
        <f>COUNTIFS('Cadastro Unidades'!$A$6:$A$222,A23,'Cadastro Unidades'!$C$6:$C$222,"OSC/CONVENIADA")</f>
        <v>4</v>
      </c>
      <c r="D23" s="190">
        <f t="shared" si="2"/>
        <v>19</v>
      </c>
      <c r="E23" s="191">
        <f>IFERROR(D23/COUNTA('Cadastro Unidades'!$E$6:$E$222),0)</f>
        <v>0.08755760369</v>
      </c>
      <c r="G23" s="11" t="str">
        <f>IF('Plano de Auditoria'!$A11="","",'Plano de Auditoria'!A11)</f>
        <v>AUD-006</v>
      </c>
      <c r="H23" s="11" t="str">
        <f>IFERROR(IF('Plano de Auditoria'!$A11="","",'Plano de Auditoria'!B11),"")</f>
        <v>ESCOLA MUNICIPAL ALZIRA PERNAMBUCO</v>
      </c>
      <c r="I23" s="11" t="str">
        <f>IF('Plano de Auditoria'!$A11="","",'Plano de Auditoria'!I11)</f>
        <v/>
      </c>
      <c r="J23" s="191">
        <f>IF('Plano de Auditoria'!$A11="","",'Plano de Auditoria'!L11)</f>
        <v>0</v>
      </c>
      <c r="K23" s="191">
        <f>IF('Plano de Auditoria'!$A11="","",'Plano de Auditoria'!N11)</f>
        <v>0</v>
      </c>
    </row>
    <row r="24" ht="14.25" customHeight="1">
      <c r="A24" s="11" t="s">
        <v>1790</v>
      </c>
      <c r="B24" s="190">
        <f>COUNTIFS('Cadastro Unidades'!$A$6:$A$222,A24,'Cadastro Unidades'!$C$6:$C$222,"MUNICIPAL")</f>
        <v>18</v>
      </c>
      <c r="C24" s="190">
        <f>COUNTIFS('Cadastro Unidades'!$A$6:$A$222,A24,'Cadastro Unidades'!$C$6:$C$222,"OSC/CONVENIADA")</f>
        <v>2</v>
      </c>
      <c r="D24" s="190">
        <f t="shared" si="2"/>
        <v>20</v>
      </c>
      <c r="E24" s="191">
        <f>IFERROR(D24/COUNTA('Cadastro Unidades'!$E$6:$E$222),0)</f>
        <v>0.09216589862</v>
      </c>
      <c r="G24" s="11" t="str">
        <f>IF('Plano de Auditoria'!$A12="","",'Plano de Auditoria'!A12)</f>
        <v>AUD-007</v>
      </c>
      <c r="H24" s="11" t="str">
        <f>IFERROR(IF('Plano de Auditoria'!$A12="","",'Plano de Auditoria'!B12),"")</f>
        <v>ESCOLA MUNICIPAL LIONS CLUBE DE BELEM</v>
      </c>
      <c r="I24" s="11" t="str">
        <f>IF('Plano de Auditoria'!$A12="","",'Plano de Auditoria'!I12)</f>
        <v/>
      </c>
      <c r="J24" s="191">
        <f>IF('Plano de Auditoria'!$A12="","",'Plano de Auditoria'!L12)</f>
        <v>0</v>
      </c>
      <c r="K24" s="191">
        <f>IF('Plano de Auditoria'!$A12="","",'Plano de Auditoria'!N12)</f>
        <v>0</v>
      </c>
    </row>
    <row r="25" ht="14.25" customHeight="1">
      <c r="A25" s="12" t="s">
        <v>1960</v>
      </c>
      <c r="B25" s="192">
        <f>COUNTIFS('Cadastro Unidades'!$A$6:$A$222,A25,'Cadastro Unidades'!$C$6:$C$222,"MUNICIPAL")</f>
        <v>19</v>
      </c>
      <c r="C25" s="192">
        <f>COUNTIFS('Cadastro Unidades'!$A$6:$A$222,A25,'Cadastro Unidades'!$C$6:$C$222,"OSC/CONVENIADA")</f>
        <v>3</v>
      </c>
      <c r="D25" s="192">
        <f t="shared" si="2"/>
        <v>22</v>
      </c>
      <c r="E25" s="193">
        <f>IFERROR(D25/COUNTA('Cadastro Unidades'!$E$6:$E$222),0)</f>
        <v>0.1013824885</v>
      </c>
      <c r="G25" s="11" t="str">
        <f>IF('Plano de Auditoria'!$A13="","",'Plano de Auditoria'!A13)</f>
        <v>AUD-008</v>
      </c>
      <c r="H25" s="11" t="str">
        <f>IFERROR(IF('Plano de Auditoria'!$A13="","",'Plano de Auditoria'!B13),"")</f>
        <v>ESCOLA MUNICIPAL PROFESSORA LUCIA SOARES CASTRO</v>
      </c>
      <c r="I25" s="11" t="str">
        <f>IF('Plano de Auditoria'!$A13="","",'Plano de Auditoria'!I13)</f>
        <v/>
      </c>
      <c r="J25" s="191">
        <f>IF('Plano de Auditoria'!$A13="","",'Plano de Auditoria'!L13)</f>
        <v>0</v>
      </c>
      <c r="K25" s="191">
        <f>IF('Plano de Auditoria'!$A13="","",'Plano de Auditoria'!N13)</f>
        <v>0</v>
      </c>
    </row>
    <row r="26" ht="14.25" customHeight="1">
      <c r="G26" s="11" t="str">
        <f>IF('Plano de Auditoria'!$A14="","",'Plano de Auditoria'!A14)</f>
        <v>AUD-009</v>
      </c>
      <c r="H26" s="11" t="str">
        <f>IFERROR(IF('Plano de Auditoria'!$A14="","",'Plano de Auditoria'!B14),"")</f>
        <v>ESCOLA MUNICIPAL PROFESSORA RAIMUNDA LUCIA GUERREIRO</v>
      </c>
      <c r="I26" s="11" t="str">
        <f>IF('Plano de Auditoria'!$A14="","",'Plano de Auditoria'!I14)</f>
        <v/>
      </c>
      <c r="J26" s="191">
        <f>IF('Plano de Auditoria'!$A14="","",'Plano de Auditoria'!L14)</f>
        <v>0</v>
      </c>
      <c r="K26" s="191">
        <f>IF('Plano de Auditoria'!$A14="","",'Plano de Auditoria'!N14)</f>
        <v>0</v>
      </c>
    </row>
    <row r="27" ht="14.25" customHeight="1">
      <c r="G27" s="11" t="str">
        <f>IF('Plano de Auditoria'!$A15="","",'Plano de Auditoria'!A15)</f>
        <v>AUD-010</v>
      </c>
      <c r="H27" s="11" t="str">
        <f>IFERROR(IF('Plano de Auditoria'!$A15="","",'Plano de Auditoria'!B15),"")</f>
        <v>ESCOLA MUNICIPAL RUY DA SILVEIRA BRITTO</v>
      </c>
      <c r="I27" s="11" t="str">
        <f>IF('Plano de Auditoria'!$A15="","",'Plano de Auditoria'!I15)</f>
        <v/>
      </c>
      <c r="J27" s="191">
        <f>IF('Plano de Auditoria'!$A15="","",'Plano de Auditoria'!L15)</f>
        <v>0</v>
      </c>
      <c r="K27" s="191">
        <f>IF('Plano de Auditoria'!$A15="","",'Plano de Auditoria'!N15)</f>
        <v>0</v>
      </c>
    </row>
    <row r="28" ht="14.25" customHeight="1">
      <c r="G28" s="11" t="str">
        <f>IF('Plano de Auditoria'!$A16="","",'Plano de Auditoria'!A16)</f>
        <v>AUD-011</v>
      </c>
      <c r="H28" s="11" t="str">
        <f>IFERROR(IF('Plano de Auditoria'!$A16="","",'Plano de Auditoria'!B16),"")</f>
        <v>CENTRO DE REFERENCIA DE EDUCACAO INFANTIL PROF ORLANDO BITAR</v>
      </c>
      <c r="I28" s="11" t="str">
        <f>IF('Plano de Auditoria'!$A16="","",'Plano de Auditoria'!I16)</f>
        <v/>
      </c>
      <c r="J28" s="191">
        <f>IF('Plano de Auditoria'!$A16="","",'Plano de Auditoria'!L16)</f>
        <v>0</v>
      </c>
      <c r="K28" s="191">
        <f>IF('Plano de Auditoria'!$A16="","",'Plano de Auditoria'!N16)</f>
        <v>0</v>
      </c>
    </row>
    <row r="29" ht="14.25" customHeight="1">
      <c r="G29" s="11" t="str">
        <f>IF('Plano de Auditoria'!$A17="","",'Plano de Auditoria'!A17)</f>
        <v>AUD-012</v>
      </c>
      <c r="H29" s="11" t="str">
        <f>IFERROR(IF('Plano de Auditoria'!$A17="","",'Plano de Auditoria'!B17),"")</f>
        <v>INSTITUTO FELIPE SMALDONE BELEM</v>
      </c>
      <c r="I29" s="11" t="str">
        <f>IF('Plano de Auditoria'!$A17="","",'Plano de Auditoria'!I17)</f>
        <v/>
      </c>
      <c r="J29" s="191">
        <f>IF('Plano de Auditoria'!$A17="","",'Plano de Auditoria'!L17)</f>
        <v>0</v>
      </c>
      <c r="K29" s="191">
        <f>IF('Plano de Auditoria'!$A17="","",'Plano de Auditoria'!N17)</f>
        <v>0</v>
      </c>
    </row>
    <row r="30" ht="14.25" customHeight="1">
      <c r="G30" s="11" t="str">
        <f>IF('Plano de Auditoria'!$A18="","",'Plano de Auditoria'!A18)</f>
        <v>AUD-013</v>
      </c>
      <c r="H30" s="11" t="str">
        <f>IFERROR(IF('Plano de Auditoria'!$A18="","",'Plano de Auditoria'!B18),"")</f>
        <v>CRECHE CASA LAR CORDEIRINHO DE DEUS</v>
      </c>
      <c r="I30" s="11" t="str">
        <f>IF('Plano de Auditoria'!$A18="","",'Plano de Auditoria'!I18)</f>
        <v/>
      </c>
      <c r="J30" s="191">
        <f>IF('Plano de Auditoria'!$A18="","",'Plano de Auditoria'!L18)</f>
        <v>0</v>
      </c>
      <c r="K30" s="191">
        <f>IF('Plano de Auditoria'!$A18="","",'Plano de Auditoria'!N18)</f>
        <v>0</v>
      </c>
    </row>
    <row r="31" ht="14.25" customHeight="1">
      <c r="G31" s="11" t="str">
        <f>IF('Plano de Auditoria'!$A19="","",'Plano de Auditoria'!A19)</f>
        <v>AUD-014</v>
      </c>
      <c r="H31" s="11" t="str">
        <f>IFERROR(IF('Plano de Auditoria'!$A19="","",'Plano de Auditoria'!B19),"")</f>
        <v>ESCOLA MUNICIPAL BENVINDA DE FRANCA MESSIAS</v>
      </c>
      <c r="I31" s="11" t="str">
        <f>IF('Plano de Auditoria'!$A19="","",'Plano de Auditoria'!I19)</f>
        <v/>
      </c>
      <c r="J31" s="191">
        <f>IF('Plano de Auditoria'!$A19="","",'Plano de Auditoria'!L19)</f>
        <v>0</v>
      </c>
      <c r="K31" s="191">
        <f>IF('Plano de Auditoria'!$A19="","",'Plano de Auditoria'!N19)</f>
        <v>0</v>
      </c>
    </row>
    <row r="32" ht="14.25" customHeight="1">
      <c r="G32" s="11" t="str">
        <f>IF('Plano de Auditoria'!$A20="","",'Plano de Auditoria'!A20)</f>
        <v>AUD-015</v>
      </c>
      <c r="H32" s="11" t="str">
        <f>IFERROR(IF('Plano de Auditoria'!$A20="","",'Plano de Auditoria'!B20),"")</f>
        <v>ESCOLA MUNICIPAL ERNESTINA RODRIGUES</v>
      </c>
      <c r="I32" s="11" t="str">
        <f>IF('Plano de Auditoria'!$A20="","",'Plano de Auditoria'!I20)</f>
        <v/>
      </c>
      <c r="J32" s="191">
        <f>IF('Plano de Auditoria'!$A20="","",'Plano de Auditoria'!L20)</f>
        <v>0</v>
      </c>
      <c r="K32" s="191">
        <f>IF('Plano de Auditoria'!$A20="","",'Plano de Auditoria'!N20)</f>
        <v>0</v>
      </c>
    </row>
    <row r="33" ht="14.25" customHeight="1">
      <c r="G33" s="11" t="str">
        <f>IF('Plano de Auditoria'!$A21="","",'Plano de Auditoria'!A21)</f>
        <v>AUD-016</v>
      </c>
      <c r="H33" s="11" t="str">
        <f>IFERROR(IF('Plano de Auditoria'!$A21="","",'Plano de Auditoria'!B21),"")</f>
        <v>ESCOLA MUNICIPAL FRANCISCO DA SILVA NUNES</v>
      </c>
      <c r="I33" s="11" t="str">
        <f>IF('Plano de Auditoria'!$A21="","",'Plano de Auditoria'!I21)</f>
        <v/>
      </c>
      <c r="J33" s="191">
        <f>IF('Plano de Auditoria'!$A21="","",'Plano de Auditoria'!L21)</f>
        <v>0</v>
      </c>
      <c r="K33" s="191">
        <f>IF('Plano de Auditoria'!$A21="","",'Plano de Auditoria'!N21)</f>
        <v>0</v>
      </c>
    </row>
    <row r="34" ht="14.25" customHeight="1">
      <c r="G34" s="11" t="str">
        <f>IF('Plano de Auditoria'!$A22="","",'Plano de Auditoria'!A22)</f>
        <v>AUD-017</v>
      </c>
      <c r="H34" s="11" t="str">
        <f>IFERROR(IF('Plano de Auditoria'!$A22="","",'Plano de Auditoria'!B22),"")</f>
        <v>ANEXO SOLAR ACALANTO DA EM BENVINDA DE FRANCA MESSIAS</v>
      </c>
      <c r="I34" s="11" t="str">
        <f>IF('Plano de Auditoria'!$A22="","",'Plano de Auditoria'!I22)</f>
        <v/>
      </c>
      <c r="J34" s="191">
        <f>IF('Plano de Auditoria'!$A22="","",'Plano de Auditoria'!L22)</f>
        <v>0</v>
      </c>
      <c r="K34" s="191">
        <f>IF('Plano de Auditoria'!$A22="","",'Plano de Auditoria'!N22)</f>
        <v>0</v>
      </c>
    </row>
    <row r="35" ht="14.25" customHeight="1">
      <c r="G35" s="11" t="str">
        <f>IF('Plano de Auditoria'!$A23="","",'Plano de Auditoria'!A23)</f>
        <v>AUD-018</v>
      </c>
      <c r="H35" s="11" t="str">
        <f>IFERROR(IF('Plano de Auditoria'!$A23="","",'Plano de Auditoria'!B23),"")</f>
        <v>CENTRO COMUNITARIO NOSSA SENHORA DO PERPETUO SOCORRO</v>
      </c>
      <c r="I35" s="11" t="str">
        <f>IF('Plano de Auditoria'!$A23="","",'Plano de Auditoria'!I23)</f>
        <v/>
      </c>
      <c r="J35" s="191">
        <f>IF('Plano de Auditoria'!$A23="","",'Plano de Auditoria'!L23)</f>
        <v>0</v>
      </c>
      <c r="K35" s="191">
        <f>IF('Plano de Auditoria'!$A23="","",'Plano de Auditoria'!N23)</f>
        <v>0</v>
      </c>
    </row>
    <row r="36" ht="14.25" customHeight="1">
      <c r="G36" s="11" t="str">
        <f>IF('Plano de Auditoria'!$A24="","",'Plano de Auditoria'!A24)</f>
        <v>AUD-019</v>
      </c>
      <c r="H36" s="11" t="str">
        <f>IFERROR(IF('Plano de Auditoria'!$A24="","",'Plano de Auditoria'!B24),"")</f>
        <v>ESCOLA MUNICIPAL AUGUSTO MEIRA FILHO</v>
      </c>
      <c r="I36" s="11" t="str">
        <f>IF('Plano de Auditoria'!$A24="","",'Plano de Auditoria'!I24)</f>
        <v/>
      </c>
      <c r="J36" s="191">
        <f>IF('Plano de Auditoria'!$A24="","",'Plano de Auditoria'!L24)</f>
        <v>0</v>
      </c>
      <c r="K36" s="191">
        <f>IF('Plano de Auditoria'!$A24="","",'Plano de Auditoria'!N24)</f>
        <v>0</v>
      </c>
    </row>
    <row r="37" ht="14.25" customHeight="1">
      <c r="G37" s="11" t="str">
        <f>IF('Plano de Auditoria'!$A25="","",'Plano de Auditoria'!A25)</f>
        <v>AUD-020</v>
      </c>
      <c r="H37" s="11" t="str">
        <f>IFERROR(IF('Plano de Auditoria'!$A25="","",'Plano de Auditoria'!B25),"")</f>
        <v>ESCOLA MUNICIPAL MARIA AMORAS DE OLIVEIRA</v>
      </c>
      <c r="I37" s="11" t="str">
        <f>IF('Plano de Auditoria'!$A25="","",'Plano de Auditoria'!I25)</f>
        <v/>
      </c>
      <c r="J37" s="191">
        <f>IF('Plano de Auditoria'!$A25="","",'Plano de Auditoria'!L25)</f>
        <v>0</v>
      </c>
      <c r="K37" s="191">
        <f>IF('Plano de Auditoria'!$A25="","",'Plano de Auditoria'!N25)</f>
        <v>0</v>
      </c>
    </row>
    <row r="38" ht="14.25" customHeight="1">
      <c r="G38" s="11" t="str">
        <f>IF('Plano de Auditoria'!$A26="","",'Plano de Auditoria'!A26)</f>
        <v>AUD-021</v>
      </c>
      <c r="H38" s="11" t="str">
        <f>IFERROR(IF('Plano de Auditoria'!$A26="","",'Plano de Auditoria'!B26),"")</f>
        <v>ESCOLA MUNICIPAL PROFESSORA ANGELICA DO CARMO SANTOS PAIVA</v>
      </c>
      <c r="I38" s="11" t="str">
        <f>IF('Plano de Auditoria'!$A26="","",'Plano de Auditoria'!I26)</f>
        <v/>
      </c>
      <c r="J38" s="191">
        <f>IF('Plano de Auditoria'!$A26="","",'Plano de Auditoria'!L26)</f>
        <v>0</v>
      </c>
      <c r="K38" s="191">
        <f>IF('Plano de Auditoria'!$A26="","",'Plano de Auditoria'!N26)</f>
        <v>0</v>
      </c>
    </row>
    <row r="39" ht="14.25" customHeight="1">
      <c r="G39" s="11" t="str">
        <f>IF('Plano de Auditoria'!$A27="","",'Plano de Auditoria'!A27)</f>
        <v>AUD-022</v>
      </c>
      <c r="H39" s="11" t="str">
        <f>IFERROR(IF('Plano de Auditoria'!$A27="","",'Plano de Auditoria'!B27),"")</f>
        <v>ESCOLA MUNICIPAL PROFESSORA GILVANIA MARCIA BARROS DA SILVA</v>
      </c>
      <c r="I39" s="11" t="str">
        <f>IF('Plano de Auditoria'!$A27="","",'Plano de Auditoria'!I27)</f>
        <v/>
      </c>
      <c r="J39" s="191">
        <f>IF('Plano de Auditoria'!$A27="","",'Plano de Auditoria'!L27)</f>
        <v>0</v>
      </c>
      <c r="K39" s="191">
        <f>IF('Plano de Auditoria'!$A27="","",'Plano de Auditoria'!N27)</f>
        <v>0</v>
      </c>
    </row>
    <row r="40" ht="14.25" customHeight="1">
      <c r="G40" s="11" t="str">
        <f>IF('Plano de Auditoria'!$A28="","",'Plano de Auditoria'!A28)</f>
        <v>AUD-023</v>
      </c>
      <c r="H40" s="11" t="str">
        <f>IFERROR(IF('Plano de Auditoria'!$A28="","",'Plano de Auditoria'!B28),"")</f>
        <v>INSTITUTO UNIDOS VENCEREMOS</v>
      </c>
      <c r="I40" s="11" t="str">
        <f>IF('Plano de Auditoria'!$A28="","",'Plano de Auditoria'!I28)</f>
        <v/>
      </c>
      <c r="J40" s="191">
        <f>IF('Plano de Auditoria'!$A28="","",'Plano de Auditoria'!L28)</f>
        <v>0</v>
      </c>
      <c r="K40" s="191">
        <f>IF('Plano de Auditoria'!$A28="","",'Plano de Auditoria'!N28)</f>
        <v>0</v>
      </c>
    </row>
    <row r="41" ht="14.25" customHeight="1">
      <c r="G41" s="11" t="str">
        <f>IF('Plano de Auditoria'!$A29="","",'Plano de Auditoria'!A29)</f>
        <v>AUD-024</v>
      </c>
      <c r="H41" s="11" t="str">
        <f>IFERROR(IF('Plano de Auditoria'!$A29="","",'Plano de Auditoria'!B29),"")</f>
        <v>CENTRO EDUCACIONAL DE ENSINO INFANTIL MUNDO ENCANTADO</v>
      </c>
      <c r="I41" s="11" t="str">
        <f>IF('Plano de Auditoria'!$A29="","",'Plano de Auditoria'!I29)</f>
        <v/>
      </c>
      <c r="J41" s="191">
        <f>IF('Plano de Auditoria'!$A29="","",'Plano de Auditoria'!L29)</f>
        <v>0</v>
      </c>
      <c r="K41" s="191">
        <f>IF('Plano de Auditoria'!$A29="","",'Plano de Auditoria'!N29)</f>
        <v>0</v>
      </c>
    </row>
    <row r="42" ht="14.25" customHeight="1">
      <c r="G42" s="11" t="str">
        <f>IF('Plano de Auditoria'!$A30="","",'Plano de Auditoria'!A30)</f>
        <v>AUD-025</v>
      </c>
      <c r="H42" s="11" t="str">
        <f>IFERROR(IF('Plano de Auditoria'!$A30="","",'Plano de Auditoria'!B30),"")</f>
        <v>CENTRO EDUCACIONAL EU AMO EU CUIDO</v>
      </c>
      <c r="I42" s="11" t="str">
        <f>IF('Plano de Auditoria'!$A30="","",'Plano de Auditoria'!I30)</f>
        <v/>
      </c>
      <c r="J42" s="191">
        <f>IF('Plano de Auditoria'!$A30="","",'Plano de Auditoria'!L30)</f>
        <v>0</v>
      </c>
      <c r="K42" s="191">
        <f>IF('Plano de Auditoria'!$A30="","",'Plano de Auditoria'!N30)</f>
        <v>0</v>
      </c>
    </row>
    <row r="43" ht="14.25" customHeight="1">
      <c r="G43" s="11" t="str">
        <f>IF('Plano de Auditoria'!$A31="","",'Plano de Auditoria'!A31)</f>
        <v>AUD-026</v>
      </c>
      <c r="H43" s="11" t="str">
        <f>IFERROR(IF('Plano de Auditoria'!$A31="","",'Plano de Auditoria'!B31),"")</f>
        <v>ESCOLA MUNICIPAL DEPUTADO JOAO CARLOS BATISTA</v>
      </c>
      <c r="I43" s="11" t="str">
        <f>IF('Plano de Auditoria'!$A31="","",'Plano de Auditoria'!I31)</f>
        <v/>
      </c>
      <c r="J43" s="191">
        <f>IF('Plano de Auditoria'!$A31="","",'Plano de Auditoria'!L31)</f>
        <v>0</v>
      </c>
      <c r="K43" s="191">
        <f>IF('Plano de Auditoria'!$A31="","",'Plano de Auditoria'!N31)</f>
        <v>0</v>
      </c>
    </row>
    <row r="44" ht="14.25" customHeight="1">
      <c r="G44" s="11" t="str">
        <f>IF('Plano de Auditoria'!$A32="","",'Plano de Auditoria'!A32)</f>
        <v>AUD-027</v>
      </c>
      <c r="H44" s="11" t="str">
        <f>IFERROR(IF('Plano de Auditoria'!$A32="","",'Plano de Auditoria'!B32),"")</f>
        <v>ESCOLA MUNICIPAL ALANA DE SOUZA BARBOSA I</v>
      </c>
      <c r="I44" s="11" t="str">
        <f>IF('Plano de Auditoria'!$A32="","",'Plano de Auditoria'!I32)</f>
        <v/>
      </c>
      <c r="J44" s="191">
        <f>IF('Plano de Auditoria'!$A32="","",'Plano de Auditoria'!L32)</f>
        <v>0</v>
      </c>
      <c r="K44" s="191">
        <f>IF('Plano de Auditoria'!$A32="","",'Plano de Auditoria'!N32)</f>
        <v>0</v>
      </c>
    </row>
    <row r="45" ht="14.25" customHeight="1">
      <c r="G45" s="11" t="str">
        <f>IF('Plano de Auditoria'!$A33="","",'Plano de Auditoria'!A33)</f>
        <v>AUD-028</v>
      </c>
      <c r="H45" s="11" t="str">
        <f>IFERROR(IF('Plano de Auditoria'!$A33="","",'Plano de Auditoria'!B33),"")</f>
        <v>ESCOLA MUNICIPAL ALANA DE SOUZA BARBOSA II</v>
      </c>
      <c r="I45" s="11" t="str">
        <f>IF('Plano de Auditoria'!$A33="","",'Plano de Auditoria'!I33)</f>
        <v/>
      </c>
      <c r="J45" s="191">
        <f>IF('Plano de Auditoria'!$A33="","",'Plano de Auditoria'!L33)</f>
        <v>0</v>
      </c>
      <c r="K45" s="191">
        <f>IF('Plano de Auditoria'!$A33="","",'Plano de Auditoria'!N33)</f>
        <v>0</v>
      </c>
    </row>
    <row r="46" ht="14.25" customHeight="1">
      <c r="G46" s="11" t="str">
        <f>IF('Plano de Auditoria'!$A34="","",'Plano de Auditoria'!A34)</f>
        <v>AUD-029</v>
      </c>
      <c r="H46" s="11" t="str">
        <f>IFERROR(IF('Plano de Auditoria'!$A34="","",'Plano de Auditoria'!B34),"")</f>
        <v>ESCOLA MUNICIPAL CRISTO REDENTOR</v>
      </c>
      <c r="I46" s="11" t="str">
        <f>IF('Plano de Auditoria'!$A34="","",'Plano de Auditoria'!I34)</f>
        <v/>
      </c>
      <c r="J46" s="191">
        <f>IF('Plano de Auditoria'!$A34="","",'Plano de Auditoria'!L34)</f>
        <v>0</v>
      </c>
      <c r="K46" s="191">
        <f>IF('Plano de Auditoria'!$A34="","",'Plano de Auditoria'!N34)</f>
        <v>0</v>
      </c>
    </row>
    <row r="47" ht="14.25" customHeight="1">
      <c r="G47" s="12" t="str">
        <f>IF('Plano de Auditoria'!$A35="","",'Plano de Auditoria'!A35)</f>
        <v>AUD-030</v>
      </c>
      <c r="H47" s="12" t="str">
        <f>IFERROR(IF('Plano de Auditoria'!$A35="","",'Plano de Auditoria'!B35),"")</f>
        <v>ESCOLA MUNICIPAL PADRE BRUNO SECHI</v>
      </c>
      <c r="I47" s="12" t="str">
        <f>IF('Plano de Auditoria'!$A35="","",'Plano de Auditoria'!I35)</f>
        <v/>
      </c>
      <c r="J47" s="193">
        <f>IF('Plano de Auditoria'!$A35="","",'Plano de Auditoria'!L35)</f>
        <v>0</v>
      </c>
      <c r="K47" s="193">
        <f>IF('Plano de Auditoria'!$A35="","",'Plano de Auditoria'!N35)</f>
        <v>0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K1"/>
    <mergeCell ref="A2:K2"/>
    <mergeCell ref="A4:K4"/>
    <mergeCell ref="A16:E16"/>
    <mergeCell ref="G16:K1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